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키보드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제품명</t>
        </is>
      </c>
      <c r="B1" s="1" t="inlineStr">
        <is>
          <t>가격</t>
        </is>
      </c>
      <c r="C1" s="1" t="inlineStr">
        <is>
          <t>스위치</t>
        </is>
      </c>
      <c r="D1" s="1" t="inlineStr">
        <is>
          <t>연결방식</t>
        </is>
      </c>
      <c r="E1" s="1" t="inlineStr">
        <is>
          <t>리뷰수</t>
        </is>
      </c>
      <c r="F1" s="1" t="inlineStr">
        <is>
          <t>가격/리뷰</t>
        </is>
      </c>
    </row>
    <row r="2">
      <c r="A2" t="inlineStr">
        <is>
          <t>AULA F108 PRO 유무선 기계식 치즈 화이트 한글 (저소음 바다축)</t>
        </is>
      </c>
      <c r="B2" s="2" t="n">
        <v>89000</v>
      </c>
      <c r="C2" t="inlineStr">
        <is>
          <t>저소음 바다축</t>
        </is>
      </c>
      <c r="D2" t="inlineStr">
        <is>
          <t>유선+무선</t>
        </is>
      </c>
      <c r="E2" t="n">
        <v>50</v>
      </c>
      <c r="F2">
        <f>IFERROR(B2/E2,"-")</f>
        <v/>
      </c>
    </row>
    <row r="3">
      <c r="A3" t="inlineStr">
        <is>
          <t>AULA F87 Pro 유무선 기계식 인디고 블랙 한글 (저소음 피치축 V2)</t>
        </is>
      </c>
      <c r="B3" s="2" t="n">
        <v>67000</v>
      </c>
      <c r="C3" t="inlineStr">
        <is>
          <t>저소음 피치축 V2</t>
        </is>
      </c>
      <c r="D3" t="inlineStr">
        <is>
          <t>유선+무선</t>
        </is>
      </c>
      <c r="E3" t="n">
        <v>34</v>
      </c>
      <c r="F3">
        <f>IFERROR(B3/E3,"-")</f>
        <v/>
      </c>
    </row>
    <row r="4">
      <c r="A4" t="inlineStr">
        <is>
          <t>FL-ESPORTS NX87HE 민트 블랙 (저소음 스톰축)</t>
        </is>
      </c>
      <c r="B4" s="2" t="n">
        <v>98000</v>
      </c>
      <c r="C4" t="inlineStr">
        <is>
          <t>저소음 스톰축</t>
        </is>
      </c>
      <c r="D4" t="inlineStr">
        <is>
          <t>유선</t>
        </is>
      </c>
      <c r="E4" t="n">
        <v>1</v>
      </c>
      <c r="F4">
        <f>IFERROR(B4/E4,"-")</f>
        <v/>
      </c>
    </row>
    <row r="5">
      <c r="A5" t="inlineStr">
        <is>
          <t>AULA F87 Pro 기계식 다크 올리비아 한글 (저소음 바다축)</t>
        </is>
      </c>
      <c r="B5" s="2" t="n">
        <v>48000</v>
      </c>
      <c r="C5" t="inlineStr">
        <is>
          <t>저소음 바다축</t>
        </is>
      </c>
      <c r="D5" t="inlineStr">
        <is>
          <t>유선</t>
        </is>
      </c>
      <c r="E5" t="n">
        <v>13</v>
      </c>
      <c r="F5">
        <f>IFERROR(B5/E5,"-")</f>
        <v/>
      </c>
    </row>
    <row r="6">
      <c r="A6" t="inlineStr">
        <is>
          <t>앱코 K560 축교환 레인보우 무빙 LED 기계식 블랙 (적축)</t>
        </is>
      </c>
      <c r="B6" s="2" t="n">
        <v>28510</v>
      </c>
      <c r="C6" t="inlineStr">
        <is>
          <t>적축</t>
        </is>
      </c>
      <c r="D6" t="inlineStr">
        <is>
          <t>유선</t>
        </is>
      </c>
      <c r="E6" t="n">
        <v>126</v>
      </c>
      <c r="F6">
        <f>IFERROR(B6/E6,"-")</f>
        <v/>
      </c>
    </row>
    <row r="7">
      <c r="A7" t="inlineStr">
        <is>
          <t>로지텍 KEYS-TO-GO 2 (정품) (그라파이트)</t>
        </is>
      </c>
      <c r="B7" s="2" t="n">
        <v>84900</v>
      </c>
      <c r="D7" t="inlineStr">
        <is>
          <t>무선</t>
        </is>
      </c>
      <c r="E7" t="n">
        <v>91</v>
      </c>
      <c r="F7">
        <f>IFERROR(B7/E7,"-")</f>
        <v/>
      </c>
    </row>
    <row r="8">
      <c r="A8" t="inlineStr">
        <is>
          <t>CORSAIR 뱅가드 AIR 99 무선 (화이트)</t>
        </is>
      </c>
      <c r="B8" s="2" t="n">
        <v>359440</v>
      </c>
      <c r="D8" t="inlineStr">
        <is>
          <t>유선+무선</t>
        </is>
      </c>
      <c r="E8" t="n">
        <v>1</v>
      </c>
      <c r="F8">
        <f>IFERROR(B8/E8,"-")</f>
        <v/>
      </c>
    </row>
    <row r="9">
      <c r="A9" t="inlineStr">
        <is>
          <t>로지텍 MK295 SILENT (정품) (블랙)</t>
        </is>
      </c>
      <c r="B9" s="2" t="n">
        <v>37900</v>
      </c>
      <c r="D9" t="inlineStr">
        <is>
          <t>무선</t>
        </is>
      </c>
      <c r="E9" t="n">
        <v>327</v>
      </c>
      <c r="F9">
        <f>IFERROR(B9/E9,"-")</f>
        <v/>
      </c>
    </row>
    <row r="10">
      <c r="A10" t="inlineStr">
        <is>
          <t>CORSAIR 뱅가드 PRO 96 게이밍</t>
        </is>
      </c>
      <c r="B10" s="2" t="n">
        <v>208990</v>
      </c>
      <c r="D10" t="inlineStr">
        <is>
          <t>유선</t>
        </is>
      </c>
      <c r="E10" t="n">
        <v>7</v>
      </c>
      <c r="F10">
        <f>IFERROR(B10/E10,"-")</f>
        <v/>
      </c>
    </row>
    <row r="11">
      <c r="A11" t="inlineStr">
        <is>
          <t>Razer Huntsman V3 HE Magnetic TKL</t>
        </is>
      </c>
      <c r="B11" s="2" t="n">
        <v>239000</v>
      </c>
      <c r="D11" t="inlineStr">
        <is>
          <t>유선</t>
        </is>
      </c>
      <c r="E11" t="n">
        <v>0</v>
      </c>
      <c r="F11">
        <f>IFERROR(B11/E11,"-")</f>
        <v/>
      </c>
    </row>
    <row r="12">
      <c r="A12" t="inlineStr">
        <is>
          <t>AULA F108 기계식 라이트 그레이 (저소음 바다축)</t>
        </is>
      </c>
      <c r="B12" s="2" t="n">
        <v>65000</v>
      </c>
      <c r="C12" t="inlineStr">
        <is>
          <t>저소음 바다축</t>
        </is>
      </c>
      <c r="D12" t="inlineStr">
        <is>
          <t>유선</t>
        </is>
      </c>
      <c r="E12" t="n">
        <v>13</v>
      </c>
      <c r="F12">
        <f>IFERROR(B12/E12,"-")</f>
        <v/>
      </c>
    </row>
    <row r="13">
      <c r="A13" t="inlineStr">
        <is>
          <t>AULA F108 유무선 기계식 스카이 블랙 한글 (저소음 바다축)</t>
        </is>
      </c>
      <c r="B13" s="2" t="n">
        <v>82000</v>
      </c>
      <c r="C13" t="inlineStr">
        <is>
          <t>저소음 바다축</t>
        </is>
      </c>
      <c r="D13" t="inlineStr">
        <is>
          <t>유선+무선</t>
        </is>
      </c>
      <c r="E13" t="n">
        <v>129</v>
      </c>
      <c r="F13">
        <f>IFERROR(B13/E13,"-")</f>
        <v/>
      </c>
    </row>
    <row r="14">
      <c r="A14" t="inlineStr">
        <is>
          <t>AULA F87 Pro V2 유무선 기계식 모던 블랙 (저소음 바다축)</t>
        </is>
      </c>
      <c r="B14" s="2" t="n">
        <v>85000</v>
      </c>
      <c r="C14" t="inlineStr">
        <is>
          <t>저소음 바다축</t>
        </is>
      </c>
      <c r="D14" t="inlineStr">
        <is>
          <t>유선+무선</t>
        </is>
      </c>
      <c r="E14" t="n">
        <v>0</v>
      </c>
      <c r="F14">
        <f>IFERROR(B14/E14,"-")</f>
        <v/>
      </c>
    </row>
    <row r="15">
      <c r="A15" t="inlineStr">
        <is>
          <t>COX CKM40W 저소음 무선 키보드 마우스 세트 (블랙)</t>
        </is>
      </c>
      <c r="B15" s="2" t="n">
        <v>17590</v>
      </c>
      <c r="D15" t="inlineStr">
        <is>
          <t>무선</t>
        </is>
      </c>
      <c r="E15" t="n">
        <v>25</v>
      </c>
      <c r="F15">
        <f>IFERROR(B15/E15,"-")</f>
        <v/>
      </c>
    </row>
    <row r="16">
      <c r="A16" t="inlineStr">
        <is>
          <t>로지텍 MK250 무선 키보드 마우스 세트</t>
        </is>
      </c>
      <c r="B16" s="2" t="n">
        <v>25900</v>
      </c>
      <c r="D16" t="inlineStr">
        <is>
          <t>무선</t>
        </is>
      </c>
      <c r="E16" t="n">
        <v>32</v>
      </c>
      <c r="F16">
        <f>IFERROR(B16/E16,"-")</f>
        <v/>
      </c>
    </row>
    <row r="17">
      <c r="A17" t="inlineStr">
        <is>
          <t>앱코 ACH105 오피스워커 유무선 기계식 블랙 (저소음 바다소금축)</t>
        </is>
      </c>
      <c r="B17" s="2" t="n">
        <v>79000</v>
      </c>
      <c r="C17" t="inlineStr">
        <is>
          <t>저소음 바다소금축</t>
        </is>
      </c>
      <c r="D17" t="inlineStr">
        <is>
          <t>유선+무선</t>
        </is>
      </c>
      <c r="E17" t="n">
        <v>0</v>
      </c>
      <c r="F17">
        <f>IFERROR(B17/E17,"-")</f>
        <v/>
      </c>
    </row>
    <row r="18">
      <c r="A18" t="inlineStr">
        <is>
          <t>AULA S102Pro 유무선 (그레이)</t>
        </is>
      </c>
      <c r="B18" s="2" t="n">
        <v>29800</v>
      </c>
      <c r="D18" t="inlineStr">
        <is>
          <t>유선+무선</t>
        </is>
      </c>
      <c r="E18" t="n">
        <v>10</v>
      </c>
      <c r="F18">
        <f>IFERROR(B18/E18,"-")</f>
        <v/>
      </c>
    </row>
    <row r="19">
      <c r="A19" t="inlineStr">
        <is>
          <t>로지텍 시그니처 MK650 (정품) (그라파이트)</t>
        </is>
      </c>
      <c r="B19" s="2" t="n">
        <v>79900</v>
      </c>
      <c r="D19" t="inlineStr">
        <is>
          <t>무선</t>
        </is>
      </c>
      <c r="E19" t="n">
        <v>60</v>
      </c>
      <c r="F19">
        <f>IFERROR(B19/E19,"-")</f>
        <v/>
      </c>
    </row>
    <row r="20">
      <c r="A20" t="inlineStr">
        <is>
          <t>ASUS ROG AZOTH X 유무선 기계식 (SNOW축)</t>
        </is>
      </c>
      <c r="B20" s="2" t="n">
        <v>299000</v>
      </c>
      <c r="C20" t="inlineStr">
        <is>
          <t>SNOW축</t>
        </is>
      </c>
      <c r="D20" t="inlineStr">
        <is>
          <t>유선+무선</t>
        </is>
      </c>
      <c r="E20" t="n">
        <v>2</v>
      </c>
      <c r="F20">
        <f>IFERROR(B20/E20,"-")</f>
        <v/>
      </c>
    </row>
    <row r="21">
      <c r="A21" t="inlineStr">
        <is>
          <t>로지텍 MK235 (정품) (키스킨 미포함)</t>
        </is>
      </c>
      <c r="B21" s="2" t="n">
        <v>25550</v>
      </c>
      <c r="D21" t="inlineStr">
        <is>
          <t>무선</t>
        </is>
      </c>
      <c r="E21" t="n">
        <v>650</v>
      </c>
      <c r="F21">
        <f>IFERROR(B21/E21,"-")</f>
        <v/>
      </c>
    </row>
    <row r="22">
      <c r="A22" t="inlineStr">
        <is>
          <t>로지텍 시그니처 슬림 MK950 키보드 마우스 세트 (정품) (그래파이트)</t>
        </is>
      </c>
      <c r="B22" s="2" t="n">
        <v>118990</v>
      </c>
      <c r="D22" t="inlineStr">
        <is>
          <t>무선</t>
        </is>
      </c>
      <c r="E22" t="n">
        <v>61</v>
      </c>
      <c r="F22">
        <f>IFERROR(B22/E22,"-")</f>
        <v/>
      </c>
    </row>
    <row r="23">
      <c r="A23" t="inlineStr">
        <is>
          <t>로지텍 K380S (정품) (스모키블랙)</t>
        </is>
      </c>
      <c r="B23" s="2" t="n">
        <v>30490</v>
      </c>
      <c r="D23" t="inlineStr">
        <is>
          <t>무선</t>
        </is>
      </c>
      <c r="E23" t="n">
        <v>167</v>
      </c>
      <c r="F23">
        <f>IFERROR(B23/E23,"-")</f>
        <v/>
      </c>
    </row>
    <row r="24">
      <c r="A24" t="inlineStr">
        <is>
          <t>로지텍 MX Keys S (정품) (그라파이트)</t>
        </is>
      </c>
      <c r="B24" s="2" t="n">
        <v>139000</v>
      </c>
      <c r="D24" t="inlineStr">
        <is>
          <t>무선</t>
        </is>
      </c>
      <c r="E24" t="n">
        <v>81</v>
      </c>
      <c r="F24">
        <f>IFERROR(B24/E24,"-")</f>
        <v/>
      </c>
    </row>
    <row r="25">
      <c r="A25" t="inlineStr">
        <is>
          <t>로지텍 K120 New (정품)</t>
        </is>
      </c>
      <c r="B25" s="2" t="n">
        <v>11990</v>
      </c>
      <c r="D25" t="inlineStr">
        <is>
          <t>유선</t>
        </is>
      </c>
      <c r="E25" t="n">
        <v>0</v>
      </c>
      <c r="F25">
        <f>IFERROR(B25/E25,"-")</f>
        <v/>
      </c>
    </row>
    <row r="26">
      <c r="A26" t="inlineStr">
        <is>
          <t>앱코 K561 교체축 유무선 블루투스 기계식 블랙 (적축)</t>
        </is>
      </c>
      <c r="B26" s="2" t="n">
        <v>29900</v>
      </c>
      <c r="C26" t="inlineStr">
        <is>
          <t>적축</t>
        </is>
      </c>
      <c r="D26" t="inlineStr">
        <is>
          <t>유선+무선</t>
        </is>
      </c>
      <c r="E26" t="n">
        <v>19</v>
      </c>
      <c r="F26">
        <f>IFERROR(B26/E26,"-")</f>
        <v/>
      </c>
    </row>
    <row r="27">
      <c r="A27" t="inlineStr">
        <is>
          <t>Nillkin Cube Pocket (그레이)</t>
        </is>
      </c>
      <c r="B27" s="2" t="n">
        <v>67280</v>
      </c>
      <c r="D27" t="inlineStr">
        <is>
          <t>무선</t>
        </is>
      </c>
      <c r="E27" t="n">
        <v>0</v>
      </c>
      <c r="F27">
        <f>IFERROR(B27/E27,"-")</f>
        <v/>
      </c>
    </row>
    <row r="28">
      <c r="A28" t="inlineStr">
        <is>
          <t>한성컴퓨터 GK698 OfficeMaster 유무선 (RETRO POINT)</t>
        </is>
      </c>
      <c r="B28" s="2" t="n">
        <v>39880</v>
      </c>
      <c r="D28" t="inlineStr">
        <is>
          <t>유선+무선</t>
        </is>
      </c>
      <c r="E28" t="n">
        <v>59</v>
      </c>
      <c r="F28">
        <f>IFERROR(B28/E28,"-")</f>
        <v/>
      </c>
    </row>
    <row r="29">
      <c r="A29" t="inlineStr">
        <is>
          <t>로지텍 Wave Keys + LIFT VERTICAL Combo 무선 키보드 마우스 세트 (그래파이트)</t>
        </is>
      </c>
      <c r="B29" s="2" t="n">
        <v>134100</v>
      </c>
      <c r="D29" t="inlineStr">
        <is>
          <t>무선</t>
        </is>
      </c>
      <c r="E29" t="n">
        <v>25</v>
      </c>
      <c r="F29">
        <f>IFERROR(B29/E29,"-")</f>
        <v/>
      </c>
    </row>
    <row r="30">
      <c r="A30" t="inlineStr">
        <is>
          <t>CORSAIR 클리퍼 PRO 미니 60 (화이트)</t>
        </is>
      </c>
      <c r="B30" s="2" t="n">
        <v>169000</v>
      </c>
      <c r="D30" t="inlineStr">
        <is>
          <t>유선</t>
        </is>
      </c>
      <c r="E30" t="n">
        <v>0</v>
      </c>
      <c r="F30">
        <f>IFERROR(B30/E30,"-")</f>
        <v/>
      </c>
    </row>
    <row r="31">
      <c r="A31" t="inlineStr">
        <is>
          <t>프리플로우 archon M1 PRO 2 MAX (메카닉)</t>
        </is>
      </c>
      <c r="B31" s="2" t="n">
        <v>99000</v>
      </c>
      <c r="D31" t="inlineStr">
        <is>
          <t>유선</t>
        </is>
      </c>
      <c r="E31" t="n">
        <v>1</v>
      </c>
      <c r="F31">
        <f>IFERROR(B31/E31,"-")</f>
        <v/>
      </c>
    </row>
    <row r="32">
      <c r="A32" t="inlineStr">
        <is>
          <t>프리플로우 archon M1 PRO 2 TKL (메카닉)</t>
        </is>
      </c>
      <c r="B32" s="2" t="n">
        <v>89000</v>
      </c>
      <c r="D32" t="inlineStr">
        <is>
          <t>유선</t>
        </is>
      </c>
      <c r="E32" t="n">
        <v>1</v>
      </c>
      <c r="F32">
        <f>IFERROR(B32/E32,"-")</f>
        <v/>
      </c>
    </row>
    <row r="33">
      <c r="A33" t="inlineStr">
        <is>
          <t>로지텍 MX Mechanical (정품) (갈축)</t>
        </is>
      </c>
      <c r="B33" s="2" t="n">
        <v>178980</v>
      </c>
      <c r="C33" t="inlineStr">
        <is>
          <t>갈축</t>
        </is>
      </c>
      <c r="D33" t="inlineStr">
        <is>
          <t>무선</t>
        </is>
      </c>
      <c r="E33" t="n">
        <v>48</v>
      </c>
      <c r="F33">
        <f>IFERROR(B33/E33,"-")</f>
        <v/>
      </c>
    </row>
    <row r="34">
      <c r="A34" t="inlineStr">
        <is>
          <t>AULA F108 PRO 유무선 기계식 오로라 블랙 한글 (저소음 솜사탕축)</t>
        </is>
      </c>
      <c r="B34" s="2" t="n">
        <v>89000</v>
      </c>
      <c r="C34" t="inlineStr">
        <is>
          <t>저소음 솜사탕축</t>
        </is>
      </c>
      <c r="D34" t="inlineStr">
        <is>
          <t>유선+무선</t>
        </is>
      </c>
      <c r="E34" t="n">
        <v>43</v>
      </c>
      <c r="F34">
        <f>IFERROR(B34/E34,"-")</f>
        <v/>
      </c>
    </row>
    <row r="35">
      <c r="A35" t="inlineStr">
        <is>
          <t>앱코 K562 교체축 3모드 계산기 유무선 기계식</t>
        </is>
      </c>
      <c r="B35" s="2" t="n">
        <v>23900</v>
      </c>
      <c r="D35" t="inlineStr">
        <is>
          <t>유선+무선</t>
        </is>
      </c>
      <c r="E35" t="n">
        <v>2</v>
      </c>
      <c r="F35">
        <f>IFERROR(B35/E35,"-")</f>
        <v/>
      </c>
    </row>
    <row r="36">
      <c r="A36" t="inlineStr">
        <is>
          <t>주연테크 긱스타 GK108FE (봄 꽃비)</t>
        </is>
      </c>
      <c r="B36" s="2" t="n">
        <v>18800</v>
      </c>
      <c r="D36" t="inlineStr">
        <is>
          <t>유선</t>
        </is>
      </c>
      <c r="E36" t="n">
        <v>0</v>
      </c>
      <c r="F36">
        <f>IFERROR(B36/E36,"-")</f>
        <v/>
      </c>
    </row>
    <row r="37">
      <c r="A37" t="inlineStr">
        <is>
          <t>한성컴퓨터 TFG Magnetox 2XF 저소음 (쿠키앤크림)</t>
        </is>
      </c>
      <c r="B37" s="2" t="n">
        <v>104000</v>
      </c>
      <c r="D37" t="inlineStr">
        <is>
          <t>유선</t>
        </is>
      </c>
      <c r="E37" t="n">
        <v>1</v>
      </c>
      <c r="F37">
        <f>IFERROR(B37/E37,"-")</f>
        <v/>
      </c>
    </row>
    <row r="38">
      <c r="A38" t="inlineStr">
        <is>
          <t>SPM PL87W 몽돌 유무선 기계식 (블랙)</t>
        </is>
      </c>
      <c r="B38" s="2" t="n">
        <v>56900</v>
      </c>
      <c r="D38" t="inlineStr">
        <is>
          <t>유선+무선</t>
        </is>
      </c>
      <c r="E38" t="n">
        <v>110</v>
      </c>
      <c r="F38">
        <f>IFERROR(B38/E38,"-")</f>
        <v/>
      </c>
    </row>
    <row r="39">
      <c r="A39" t="inlineStr">
        <is>
          <t>Razer Huntsman V3 Pro TKL 8K KR (정품)</t>
        </is>
      </c>
      <c r="B39" s="2" t="n">
        <v>329000</v>
      </c>
      <c r="D39" t="inlineStr">
        <is>
          <t>유선</t>
        </is>
      </c>
      <c r="E39" t="n">
        <v>5</v>
      </c>
      <c r="F39">
        <f>IFERROR(B39/E39,"-")</f>
        <v/>
      </c>
    </row>
    <row r="40">
      <c r="A40" t="inlineStr">
        <is>
          <t>AULA F108 유무선 기계식 블러쉬 핑크 한글 (저소음 바다축)</t>
        </is>
      </c>
      <c r="B40" s="2" t="n">
        <v>89000</v>
      </c>
      <c r="C40" t="inlineStr">
        <is>
          <t>저소음 바다축</t>
        </is>
      </c>
      <c r="D40" t="inlineStr">
        <is>
          <t>유선+무선</t>
        </is>
      </c>
      <c r="E40" t="n">
        <v>0</v>
      </c>
      <c r="F40">
        <f>IFERROR(B40/E40,"-")</f>
        <v/>
      </c>
    </row>
    <row r="41">
      <c r="A41" t="inlineStr">
        <is>
          <t>COX COS10 유선 키보드 마우스 세트</t>
        </is>
      </c>
      <c r="B41" s="2" t="n">
        <v>8900</v>
      </c>
      <c r="D41" t="inlineStr">
        <is>
          <t>유선</t>
        </is>
      </c>
      <c r="E41" t="n">
        <v>4</v>
      </c>
      <c r="F41">
        <f>IFERROR(B41/E41,"-")</f>
        <v/>
      </c>
    </row>
    <row r="42">
      <c r="A42" t="inlineStr">
        <is>
          <t>CORSAIR K70 MAX RGB MGX 게이밍 기계식 (마그네틱축)</t>
        </is>
      </c>
      <c r="B42" s="2" t="n">
        <v>287030</v>
      </c>
      <c r="C42" t="inlineStr">
        <is>
          <t>마그네틱축</t>
        </is>
      </c>
      <c r="D42" t="inlineStr">
        <is>
          <t>유선</t>
        </is>
      </c>
      <c r="E42" t="n">
        <v>72</v>
      </c>
      <c r="F42">
        <f>IFERROR(B42/E42,"-")</f>
        <v/>
      </c>
    </row>
    <row r="43">
      <c r="A43" t="inlineStr">
        <is>
          <t>AULA F87 Pro 유무선 기계식 올리비아 화이트 한글 (저소음 피치축 V2)</t>
        </is>
      </c>
      <c r="B43" s="2" t="n">
        <v>67000</v>
      </c>
      <c r="C43" t="inlineStr">
        <is>
          <t>저소음 피치축 V2</t>
        </is>
      </c>
      <c r="D43" t="inlineStr">
        <is>
          <t>유선+무선</t>
        </is>
      </c>
      <c r="E43" t="n">
        <v>35</v>
      </c>
      <c r="F43">
        <f>IFERROR(B43/E43,"-")</f>
        <v/>
      </c>
    </row>
    <row r="44">
      <c r="A44" t="inlineStr">
        <is>
          <t>AULA F87 Pro V2 유무선 기계식 샌드 베이지 (저소음 바다축)</t>
        </is>
      </c>
      <c r="B44" s="2" t="n">
        <v>85000</v>
      </c>
      <c r="C44" t="inlineStr">
        <is>
          <t>저소음 바다축</t>
        </is>
      </c>
      <c r="D44" t="inlineStr">
        <is>
          <t>유선+무선</t>
        </is>
      </c>
      <c r="E44" t="n">
        <v>0</v>
      </c>
      <c r="F44">
        <f>IFERROR(B44/E44,"-")</f>
        <v/>
      </c>
    </row>
    <row r="45">
      <c r="A45" t="inlineStr">
        <is>
          <t>CHERRY XTRFY K37 유무선 (화이트)</t>
        </is>
      </c>
      <c r="B45" s="2" t="n">
        <v>58000</v>
      </c>
      <c r="D45" t="inlineStr">
        <is>
          <t>유선+무선</t>
        </is>
      </c>
      <c r="E45" t="n">
        <v>0</v>
      </c>
      <c r="F45">
        <f>IFERROR(B45/E45,"-")</f>
        <v/>
      </c>
    </row>
    <row r="46">
      <c r="A46" t="inlineStr">
        <is>
          <t>앱코 AK998 8K OTEMU 특주축 기계식 스카이 블루 (멜론축)</t>
        </is>
      </c>
      <c r="B46" s="2" t="n">
        <v>58000</v>
      </c>
      <c r="C46" t="inlineStr">
        <is>
          <t>멜론축</t>
        </is>
      </c>
      <c r="D46" t="inlineStr">
        <is>
          <t>유선</t>
        </is>
      </c>
      <c r="E46" t="n">
        <v>3</v>
      </c>
      <c r="F46">
        <f>IFERROR(B46/E46,"-")</f>
        <v/>
      </c>
    </row>
    <row r="47">
      <c r="A47" t="inlineStr">
        <is>
          <t>앱코 AK94BT 유무선 기계식 스카이블루 (저소음 피치축)</t>
        </is>
      </c>
      <c r="B47" s="2" t="n">
        <v>79380</v>
      </c>
      <c r="C47" t="inlineStr">
        <is>
          <t>저소음 피치축</t>
        </is>
      </c>
      <c r="D47" t="inlineStr">
        <is>
          <t>유선+무선</t>
        </is>
      </c>
      <c r="E47" t="n">
        <v>0</v>
      </c>
      <c r="F47">
        <f>IFERROR(B47/E47,"-")</f>
        <v/>
      </c>
    </row>
    <row r="48">
      <c r="A48" t="inlineStr">
        <is>
          <t>앱코 AK87 슬림 프로 3모드 로우 프로파일 유무선 기계식 (햇살축)</t>
        </is>
      </c>
      <c r="B48" s="2" t="n">
        <v>75000</v>
      </c>
      <c r="C48" t="inlineStr">
        <is>
          <t>햇살축</t>
        </is>
      </c>
      <c r="D48" t="inlineStr">
        <is>
          <t>유선+무선</t>
        </is>
      </c>
      <c r="E48" t="n">
        <v>1</v>
      </c>
      <c r="F48">
        <f>IFERROR(B48/E48,"-")</f>
        <v/>
      </c>
    </row>
    <row r="49">
      <c r="A49" t="inlineStr">
        <is>
          <t>로지텍 mx keys mini (정품) (그라파이트)</t>
        </is>
      </c>
      <c r="B49" s="2" t="n">
        <v>99000</v>
      </c>
      <c r="D49" t="inlineStr">
        <is>
          <t>무선</t>
        </is>
      </c>
      <c r="E49" t="n">
        <v>259</v>
      </c>
      <c r="F49">
        <f>IFERROR(B49/E49,"-")</f>
        <v/>
      </c>
    </row>
    <row r="50">
      <c r="A50" t="inlineStr">
        <is>
          <t>AULA F108 유무선 기계식 올리비아 화이트 한글 (저소음 바다축)</t>
        </is>
      </c>
      <c r="B50" s="2" t="n">
        <v>82000</v>
      </c>
      <c r="C50" t="inlineStr">
        <is>
          <t>저소음 바다축</t>
        </is>
      </c>
      <c r="D50" t="inlineStr">
        <is>
          <t>유선+무선</t>
        </is>
      </c>
      <c r="E50" t="n">
        <v>53</v>
      </c>
      <c r="F50">
        <f>IFERROR(B50/E50,"-")</f>
        <v/>
      </c>
    </row>
    <row r="51">
      <c r="A51" t="inlineStr">
        <is>
          <t>로지텍 MK200 NEW (정품)</t>
        </is>
      </c>
      <c r="B51" s="2" t="n">
        <v>22530</v>
      </c>
      <c r="D51" t="inlineStr">
        <is>
          <t>유선</t>
        </is>
      </c>
      <c r="E51" t="n">
        <v>94</v>
      </c>
      <c r="F51">
        <f>IFERROR(B51/E51,"-")</f>
        <v/>
      </c>
    </row>
    <row r="52">
      <c r="A52" t="inlineStr">
        <is>
          <t>CHERRY XTRFY MX 8.2 PRO TMR 8K 유무선</t>
        </is>
      </c>
      <c r="B52" s="2" t="n">
        <v>207200</v>
      </c>
      <c r="D52" t="inlineStr">
        <is>
          <t>유선+무선</t>
        </is>
      </c>
      <c r="E52" t="n">
        <v>1</v>
      </c>
      <c r="F52">
        <f>IFERROR(B52/E52,"-")</f>
        <v/>
      </c>
    </row>
    <row r="53">
      <c r="A53" t="inlineStr">
        <is>
          <t>AULA F87 Pro 기계식 라이트 올리비아 한글 (저소음 바다축)</t>
        </is>
      </c>
      <c r="B53" s="2" t="n">
        <v>42800</v>
      </c>
      <c r="C53" t="inlineStr">
        <is>
          <t>저소음 바다축</t>
        </is>
      </c>
      <c r="D53" t="inlineStr">
        <is>
          <t>유선</t>
        </is>
      </c>
      <c r="E53" t="n">
        <v>11</v>
      </c>
      <c r="F53">
        <f>IFERROR(B53/E53,"-")</f>
        <v/>
      </c>
    </row>
    <row r="54">
      <c r="A54" t="inlineStr">
        <is>
          <t>지클릭커 오피스프로 WK35 (그린)</t>
        </is>
      </c>
      <c r="B54" s="2" t="n">
        <v>29800</v>
      </c>
      <c r="D54" t="inlineStr">
        <is>
          <t>무선</t>
        </is>
      </c>
      <c r="E54" t="n">
        <v>0</v>
      </c>
      <c r="F54">
        <f>IFERROR(B54/E54,"-")</f>
        <v/>
      </c>
    </row>
    <row r="55">
      <c r="A55" t="inlineStr">
        <is>
          <t>COX CKM510 게이밍 키보드 마우스 세트</t>
        </is>
      </c>
      <c r="B55" s="2" t="n">
        <v>18900</v>
      </c>
      <c r="D55" t="inlineStr">
        <is>
          <t>유선</t>
        </is>
      </c>
      <c r="E55" t="n">
        <v>2</v>
      </c>
      <c r="F55">
        <f>IFERROR(B55/E55,"-")</f>
        <v/>
      </c>
    </row>
    <row r="56">
      <c r="A56" t="inlineStr">
        <is>
          <t>CORSAIR K70 RGB PRO (갈축)</t>
        </is>
      </c>
      <c r="B56" s="2" t="n">
        <v>212950</v>
      </c>
      <c r="C56" t="inlineStr">
        <is>
          <t>갈축</t>
        </is>
      </c>
      <c r="D56" t="inlineStr">
        <is>
          <t>유선</t>
        </is>
      </c>
      <c r="E56" t="n">
        <v>120</v>
      </c>
      <c r="F56">
        <f>IFERROR(B56/E56,"-")</f>
        <v/>
      </c>
    </row>
    <row r="57">
      <c r="A57" t="inlineStr">
        <is>
          <t>마이크로닉스 MANIC PAMPAM 팜레스트 키보드 손목받침대</t>
        </is>
      </c>
      <c r="B57" s="2" t="n">
        <v>8630</v>
      </c>
      <c r="E57" t="n">
        <v>59</v>
      </c>
      <c r="F57">
        <f>IFERROR(B57/E57,"-")</f>
        <v/>
      </c>
    </row>
    <row r="58">
      <c r="A58" t="inlineStr">
        <is>
          <t>COX CK420 교체축 레인보우 LED 게이밍 기계식 화이트 (갈축)</t>
        </is>
      </c>
      <c r="B58" s="2" t="n">
        <v>29900</v>
      </c>
      <c r="C58" t="inlineStr">
        <is>
          <t>갈축</t>
        </is>
      </c>
      <c r="D58" t="inlineStr">
        <is>
          <t>유선</t>
        </is>
      </c>
      <c r="E58" t="n">
        <v>16</v>
      </c>
      <c r="F58">
        <f>IFERROR(B58/E58,"-")</f>
        <v/>
      </c>
    </row>
    <row r="59">
      <c r="A59" t="inlineStr">
        <is>
          <t>COX CK01 TKL (적축)</t>
        </is>
      </c>
      <c r="B59" s="2" t="n">
        <v>31900</v>
      </c>
      <c r="C59" t="inlineStr">
        <is>
          <t>적축</t>
        </is>
      </c>
      <c r="D59" t="inlineStr">
        <is>
          <t>유선</t>
        </is>
      </c>
      <c r="E59" t="n">
        <v>12</v>
      </c>
      <c r="F59">
        <f>IFERROR(B59/E59,"-")</f>
        <v/>
      </c>
    </row>
    <row r="60">
      <c r="A60" t="inlineStr">
        <is>
          <t>COX CK01 PBT 이색사출 사이드 RGB 기계식 키보드 (적축)</t>
        </is>
      </c>
      <c r="B60" s="2" t="n">
        <v>31500</v>
      </c>
      <c r="C60" t="inlineStr">
        <is>
          <t>적축</t>
        </is>
      </c>
      <c r="D60" t="inlineStr">
        <is>
          <t>유선</t>
        </is>
      </c>
      <c r="E60" t="n">
        <v>7</v>
      </c>
      <c r="F60">
        <f>IFERROR(B60/E60,"-")</f>
        <v/>
      </c>
    </row>
    <row r="61">
      <c r="A61" t="inlineStr">
        <is>
          <t>COX CY104K V2 카일 광축 V2 게이밍 블랙 (적축)</t>
        </is>
      </c>
      <c r="B61" s="2" t="n">
        <v>65000</v>
      </c>
      <c r="C61" t="inlineStr">
        <is>
          <t>적축</t>
        </is>
      </c>
      <c r="D61" t="inlineStr">
        <is>
          <t>유선</t>
        </is>
      </c>
      <c r="E61" t="n">
        <v>1</v>
      </c>
      <c r="F61">
        <f>IFERROR(B61/E61,"-")</f>
        <v/>
      </c>
    </row>
    <row r="62">
      <c r="A62" t="inlineStr">
        <is>
          <t>글로리어스 GMBK 75%</t>
        </is>
      </c>
      <c r="B62" s="2" t="n">
        <v>59000</v>
      </c>
      <c r="D62" t="inlineStr">
        <is>
          <t>유선</t>
        </is>
      </c>
      <c r="E62" t="n">
        <v>0</v>
      </c>
      <c r="F62">
        <f>IFERROR(B62/E62,"-")</f>
        <v/>
      </c>
    </row>
    <row r="63">
      <c r="A63" t="inlineStr">
        <is>
          <t>COX CK87 크림블루 게이트론 LED 게이밍 기계식 (갈축)</t>
        </is>
      </c>
      <c r="B63" s="2" t="n">
        <v>42000</v>
      </c>
      <c r="C63" t="inlineStr">
        <is>
          <t>갈축</t>
        </is>
      </c>
      <c r="D63" t="inlineStr">
        <is>
          <t>유선</t>
        </is>
      </c>
      <c r="E63" t="n">
        <v>16</v>
      </c>
      <c r="F63">
        <f>IFERROR(B63/E63,"-")</f>
        <v/>
      </c>
    </row>
    <row r="64">
      <c r="A64" t="inlineStr">
        <is>
          <t>앱코 K561 교체축 유무선 블루투스 기계식 화이트 (적축)</t>
        </is>
      </c>
      <c r="B64" s="2" t="n">
        <v>29900</v>
      </c>
      <c r="C64" t="inlineStr">
        <is>
          <t>적축</t>
        </is>
      </c>
      <c r="D64" t="inlineStr">
        <is>
          <t>유선+무선</t>
        </is>
      </c>
      <c r="E64" t="n">
        <v>10</v>
      </c>
      <c r="F64">
        <f>IFERROR(B64/E64,"-")</f>
        <v/>
      </c>
    </row>
    <row r="65">
      <c r="A65" t="inlineStr">
        <is>
          <t>CORSAIR K70 RGB CORE 게이밍 기계식 (블랙)</t>
        </is>
      </c>
      <c r="B65" s="2" t="n">
        <v>138990</v>
      </c>
      <c r="D65" t="inlineStr">
        <is>
          <t>유선</t>
        </is>
      </c>
      <c r="E65" t="n">
        <v>23</v>
      </c>
      <c r="F65">
        <f>IFERROR(B65/E65,"-")</f>
        <v/>
      </c>
    </row>
    <row r="66">
      <c r="A66" t="inlineStr">
        <is>
          <t>앱코 KN30BT 블루투스 유무선 무접점</t>
        </is>
      </c>
      <c r="B66" s="2" t="n">
        <v>109000</v>
      </c>
      <c r="D66" t="inlineStr">
        <is>
          <t>유선+무선</t>
        </is>
      </c>
      <c r="E66" t="n">
        <v>20</v>
      </c>
      <c r="F66">
        <f>IFERROR(B66/E66,"-")</f>
        <v/>
      </c>
    </row>
    <row r="67">
      <c r="A67" t="inlineStr">
        <is>
          <t>COX COS600 무선</t>
        </is>
      </c>
      <c r="B67" s="2" t="n">
        <v>26900</v>
      </c>
      <c r="D67" t="inlineStr">
        <is>
          <t>무선</t>
        </is>
      </c>
      <c r="E67" t="n">
        <v>1</v>
      </c>
      <c r="F67">
        <f>IFERROR(B67/E67,"-")</f>
        <v/>
      </c>
    </row>
    <row r="68">
      <c r="A68" t="inlineStr">
        <is>
          <t>앱코 MK87 저소음 텐키리스 멤브레인 (오트밀)</t>
        </is>
      </c>
      <c r="B68" s="2" t="n">
        <v>17900</v>
      </c>
      <c r="D68" t="inlineStr">
        <is>
          <t>유선</t>
        </is>
      </c>
      <c r="E68" t="n">
        <v>13</v>
      </c>
      <c r="F68">
        <f>IFERROR(B68/E68,"-")</f>
        <v/>
      </c>
    </row>
    <row r="69">
      <c r="A69" t="inlineStr">
        <is>
          <t>FL-ESPORTS NX108 유무선 기계식 크림 핑크 (저소음 파도축)</t>
        </is>
      </c>
      <c r="B69" s="2" t="n">
        <v>82000</v>
      </c>
      <c r="C69" t="inlineStr">
        <is>
          <t>저소음 파도축</t>
        </is>
      </c>
      <c r="D69" t="inlineStr">
        <is>
          <t>유선+무선</t>
        </is>
      </c>
      <c r="E69" t="n">
        <v>7</v>
      </c>
      <c r="F69">
        <f>IFERROR(B69/E69,"-")</f>
        <v/>
      </c>
    </row>
    <row r="70">
      <c r="A70" t="inlineStr">
        <is>
          <t>마이크로닉스 MANIC X240 LED 게이밍 기계식 키보드 (청축)</t>
        </is>
      </c>
      <c r="B70" s="2" t="n">
        <v>27900</v>
      </c>
      <c r="C70" t="inlineStr">
        <is>
          <t>청축</t>
        </is>
      </c>
      <c r="D70" t="inlineStr">
        <is>
          <t>유선</t>
        </is>
      </c>
      <c r="E70" t="n">
        <v>18</v>
      </c>
      <c r="F70">
        <f>IFERROR(B70/E70,"-")</f>
        <v/>
      </c>
    </row>
    <row r="71">
      <c r="A71" t="inlineStr">
        <is>
          <t>앱코 KN35BT DRT 8K 염료승화 블루투스 유무선 무접점 (베른)</t>
        </is>
      </c>
      <c r="B71" s="2" t="n">
        <v>109000</v>
      </c>
      <c r="D71" t="inlineStr">
        <is>
          <t>유선+무선</t>
        </is>
      </c>
      <c r="E71" t="n">
        <v>7</v>
      </c>
      <c r="F71">
        <f>IFERROR(B71/E71,"-")</f>
        <v/>
      </c>
    </row>
    <row r="72">
      <c r="A72" t="inlineStr">
        <is>
          <t>앱코 K560 축교환 레인보우 무빙 LED 기계식 화이트 (적축)</t>
        </is>
      </c>
      <c r="B72" s="2" t="n">
        <v>30900</v>
      </c>
      <c r="C72" t="inlineStr">
        <is>
          <t>적축</t>
        </is>
      </c>
      <c r="D72" t="inlineStr">
        <is>
          <t>유선</t>
        </is>
      </c>
      <c r="E72" t="n">
        <v>34</v>
      </c>
      <c r="F72">
        <f>IFERROR(B72/E72,"-")</f>
        <v/>
      </c>
    </row>
    <row r="73">
      <c r="A73" t="inlineStr">
        <is>
          <t>COX CK01 TKL PBT 기계식 키보드 (적축)</t>
        </is>
      </c>
      <c r="B73" s="2" t="n">
        <v>29900</v>
      </c>
      <c r="C73" t="inlineStr">
        <is>
          <t>적축</t>
        </is>
      </c>
      <c r="D73" t="inlineStr">
        <is>
          <t>유선</t>
        </is>
      </c>
      <c r="E73" t="n">
        <v>3</v>
      </c>
      <c r="F73">
        <f>IFERROR(B73/E73,"-")</f>
        <v/>
      </c>
    </row>
    <row r="74">
      <c r="A74" t="inlineStr">
        <is>
          <t>FL-ESPORTS NX108HE 민트 블랙 (레몬축)</t>
        </is>
      </c>
      <c r="B74" s="2" t="n">
        <v>98000</v>
      </c>
      <c r="C74" t="inlineStr">
        <is>
          <t>레몬축</t>
        </is>
      </c>
      <c r="D74" t="inlineStr">
        <is>
          <t>유선</t>
        </is>
      </c>
      <c r="E74" t="n">
        <v>0</v>
      </c>
      <c r="F74">
        <f>IFERROR(B74/E74,"-")</f>
        <v/>
      </c>
    </row>
    <row r="75">
      <c r="A75" t="inlineStr">
        <is>
          <t>앱코 HACKER K660 축교환 완전방수 게이밍 카일 광축 옐로우 (클릭)</t>
        </is>
      </c>
      <c r="B75" s="2" t="n">
        <v>65990</v>
      </c>
      <c r="C75" t="inlineStr">
        <is>
          <t>광축</t>
        </is>
      </c>
      <c r="D75" t="inlineStr">
        <is>
          <t>유선</t>
        </is>
      </c>
      <c r="E75" t="n">
        <v>49</v>
      </c>
      <c r="F75">
        <f>IFERROR(B75/E75,"-")</f>
        <v/>
      </c>
    </row>
    <row r="76">
      <c r="A76" t="inlineStr">
        <is>
          <t>FL-ESPORTS NX108HE 네온 그레이 (레몬축)</t>
        </is>
      </c>
      <c r="B76" s="2" t="n">
        <v>98000</v>
      </c>
      <c r="C76" t="inlineStr">
        <is>
          <t>레몬축</t>
        </is>
      </c>
      <c r="D76" t="inlineStr">
        <is>
          <t>유선</t>
        </is>
      </c>
      <c r="E76" t="n">
        <v>0</v>
      </c>
      <c r="F76">
        <f>IFERROR(B76/E76,"-")</f>
        <v/>
      </c>
    </row>
    <row r="77">
      <c r="A77" t="inlineStr">
        <is>
          <t>COX 카일 정품 광축 스위치 (5+5개, 클릭/리니어)</t>
        </is>
      </c>
      <c r="B77" s="2" t="n">
        <v>3990</v>
      </c>
      <c r="C77" t="inlineStr">
        <is>
          <t>광축</t>
        </is>
      </c>
      <c r="E77" t="n">
        <v>20</v>
      </c>
      <c r="F77">
        <f>IFERROR(B77/E77,"-")</f>
        <v/>
      </c>
    </row>
    <row r="78">
      <c r="A78" t="inlineStr">
        <is>
          <t>프리플로우 archon AK47 유무선 기계식 (마에스트로)</t>
        </is>
      </c>
      <c r="B78" s="2" t="n">
        <v>57000</v>
      </c>
      <c r="D78" t="inlineStr">
        <is>
          <t>유선+무선</t>
        </is>
      </c>
      <c r="E78" t="n">
        <v>74</v>
      </c>
      <c r="F78">
        <f>IFERROR(B78/E78,"-")</f>
        <v/>
      </c>
    </row>
    <row r="79">
      <c r="A79" t="inlineStr">
        <is>
          <t>darkFlash DKM100 키보드 마우스 세트 (흑설탕)</t>
        </is>
      </c>
      <c r="B79" s="2" t="n">
        <v>27170</v>
      </c>
      <c r="D79" t="inlineStr">
        <is>
          <t>유선</t>
        </is>
      </c>
      <c r="E79" t="n">
        <v>4</v>
      </c>
      <c r="F79">
        <f>IFERROR(B79/E79,"-")</f>
        <v/>
      </c>
    </row>
    <row r="80">
      <c r="A80" t="inlineStr">
        <is>
          <t>로지텍 MK275 (정품)</t>
        </is>
      </c>
      <c r="B80" s="2" t="n">
        <v>34780</v>
      </c>
      <c r="D80" t="inlineStr">
        <is>
          <t>무선</t>
        </is>
      </c>
      <c r="E80" t="n">
        <v>291</v>
      </c>
      <c r="F80">
        <f>IFERROR(B80/E80,"-")</f>
        <v/>
      </c>
    </row>
    <row r="81">
      <c r="A81" t="inlineStr">
        <is>
          <t>로지텍 G515 LIGHTSPEED TKL (정품) (화이트)</t>
        </is>
      </c>
      <c r="B81" s="2" t="n">
        <v>129000</v>
      </c>
      <c r="D81" t="inlineStr">
        <is>
          <t>유선+무선</t>
        </is>
      </c>
      <c r="E81" t="n">
        <v>43</v>
      </c>
      <c r="F81">
        <f>IFERROR(B81/E81,"-")</f>
        <v/>
      </c>
    </row>
    <row r="82">
      <c r="A82" t="inlineStr">
        <is>
          <t>darkFlash CK104 무선 기계식 키보드 마우스 세트 블랙 (적축)</t>
        </is>
      </c>
      <c r="B82" s="2" t="n">
        <v>34490</v>
      </c>
      <c r="C82" t="inlineStr">
        <is>
          <t>적축</t>
        </is>
      </c>
      <c r="D82" t="inlineStr">
        <is>
          <t>무선</t>
        </is>
      </c>
      <c r="E82" t="n">
        <v>4</v>
      </c>
      <c r="F82">
        <f>IFERROR(B82/E82,"-")</f>
        <v/>
      </c>
    </row>
    <row r="83">
      <c r="A83" t="inlineStr">
        <is>
          <t>로지텍 ERGO K860 (정품)</t>
        </is>
      </c>
      <c r="B83" s="2" t="n">
        <v>159000</v>
      </c>
      <c r="D83" t="inlineStr">
        <is>
          <t>무선</t>
        </is>
      </c>
      <c r="E83" t="n">
        <v>270</v>
      </c>
      <c r="F83">
        <f>IFERROR(B83/E83,"-")</f>
        <v/>
      </c>
    </row>
    <row r="84">
      <c r="A84" t="inlineStr">
        <is>
          <t>COX COS500 무선</t>
        </is>
      </c>
      <c r="B84" s="2" t="n">
        <v>28000</v>
      </c>
      <c r="D84" t="inlineStr">
        <is>
          <t>무선</t>
        </is>
      </c>
      <c r="E84" t="n">
        <v>4</v>
      </c>
      <c r="F84">
        <f>IFERROR(B84/E84,"-")</f>
        <v/>
      </c>
    </row>
    <row r="85">
      <c r="A85" t="inlineStr">
        <is>
          <t>로지텍 K400 PLUS (정품)</t>
        </is>
      </c>
      <c r="B85" s="2" t="n">
        <v>51570</v>
      </c>
      <c r="D85" t="inlineStr">
        <is>
          <t>무선</t>
        </is>
      </c>
      <c r="E85" t="n">
        <v>16</v>
      </c>
      <c r="F85">
        <f>IFERROR(B85/E85,"-")</f>
        <v/>
      </c>
    </row>
    <row r="86">
      <c r="A86" t="inlineStr">
        <is>
          <t>앱코 AF108PRO ABKO x SOAI 콜라보 3모드 기계식 코랄블루 (소복눈축)</t>
        </is>
      </c>
      <c r="B86" s="2" t="n">
        <v>79000</v>
      </c>
      <c r="C86" t="inlineStr">
        <is>
          <t>소복눈축</t>
        </is>
      </c>
      <c r="D86" t="inlineStr">
        <is>
          <t>유선+무선</t>
        </is>
      </c>
      <c r="E86" t="n">
        <v>21</v>
      </c>
      <c r="F86">
        <f>IFERROR(B86/E86,"-")</f>
        <v/>
      </c>
    </row>
    <row r="87">
      <c r="A87" t="inlineStr">
        <is>
          <t>프리플로우 archon AK47 PRO 유무선 기계식 마시멜로우 (세이야축)</t>
        </is>
      </c>
      <c r="B87" s="2" t="n">
        <v>79900</v>
      </c>
      <c r="C87" t="inlineStr">
        <is>
          <t>세이야축</t>
        </is>
      </c>
      <c r="D87" t="inlineStr">
        <is>
          <t>유선+무선</t>
        </is>
      </c>
      <c r="E87" t="n">
        <v>0</v>
      </c>
      <c r="F87">
        <f>IFERROR(B87/E87,"-")</f>
        <v/>
      </c>
    </row>
    <row r="88">
      <c r="A88" t="inlineStr">
        <is>
          <t>로지텍 MX Master 3S + MX Keys S COMBO (정품)</t>
        </is>
      </c>
      <c r="B88" s="2" t="n">
        <v>269000</v>
      </c>
      <c r="D88" t="inlineStr">
        <is>
          <t>무선</t>
        </is>
      </c>
      <c r="E88" t="n">
        <v>20</v>
      </c>
      <c r="F88">
        <f>IFERROR(B88/E88,"-")</f>
        <v/>
      </c>
    </row>
    <row r="89">
      <c r="A89" t="inlineStr">
        <is>
          <t>앱코 KM580 저소음 기계식 키보드 마우스 세트 (블랙)</t>
        </is>
      </c>
      <c r="B89" s="2" t="n">
        <v>77000</v>
      </c>
      <c r="D89" t="inlineStr">
        <is>
          <t>유선</t>
        </is>
      </c>
      <c r="E89" t="n">
        <v>0</v>
      </c>
      <c r="F89">
        <f>IFERROR(B89/E89,"-")</f>
        <v/>
      </c>
    </row>
    <row r="90">
      <c r="A90" t="inlineStr">
        <is>
          <t>삼성전자 SKG-3000UB (키스킨 포함)</t>
        </is>
      </c>
      <c r="B90" s="2" t="n">
        <v>21500</v>
      </c>
      <c r="D90" t="inlineStr">
        <is>
          <t>유선</t>
        </is>
      </c>
      <c r="E90" t="n">
        <v>0</v>
      </c>
      <c r="F90">
        <f>IFERROR(B90/E90,"-")</f>
        <v/>
      </c>
    </row>
    <row r="91">
      <c r="A91" t="inlineStr">
        <is>
          <t>SPM 세모키 PL87W ARA 유무선 기계식</t>
        </is>
      </c>
      <c r="B91" s="2" t="n">
        <v>69000</v>
      </c>
      <c r="D91" t="inlineStr">
        <is>
          <t>유선+무선</t>
        </is>
      </c>
      <c r="E91" t="n">
        <v>31</v>
      </c>
      <c r="F91">
        <f>IFERROR(B91/E91,"-")</f>
        <v/>
      </c>
    </row>
    <row r="92">
      <c r="A92" t="inlineStr">
        <is>
          <t>앱코 MK108 저소음 멤브레인 (블랙)</t>
        </is>
      </c>
      <c r="B92" s="2" t="n">
        <v>18900</v>
      </c>
      <c r="D92" t="inlineStr">
        <is>
          <t>유선</t>
        </is>
      </c>
      <c r="E92" t="n">
        <v>77</v>
      </c>
      <c r="F92">
        <f>IFERROR(B92/E92,"-")</f>
        <v/>
      </c>
    </row>
    <row r="93">
      <c r="A93" t="inlineStr">
        <is>
          <t>MSI FORGE K200 WIRELESS</t>
        </is>
      </c>
      <c r="B93" s="2" t="n">
        <v>20900</v>
      </c>
      <c r="D93" t="inlineStr">
        <is>
          <t>무선</t>
        </is>
      </c>
      <c r="E93" t="n">
        <v>0</v>
      </c>
      <c r="F93">
        <f>IFERROR(B93/E93,"-")</f>
        <v/>
      </c>
    </row>
    <row r="94">
      <c r="A94" t="inlineStr">
        <is>
          <t>앱코 K517 레트로 기계식 (적축)</t>
        </is>
      </c>
      <c r="B94" s="2" t="n">
        <v>27900</v>
      </c>
      <c r="C94" t="inlineStr">
        <is>
          <t>적축</t>
        </is>
      </c>
      <c r="D94" t="inlineStr">
        <is>
          <t>유선</t>
        </is>
      </c>
      <c r="E94" t="n">
        <v>54</v>
      </c>
      <c r="F94">
        <f>IFERROR(B94/E94,"-")</f>
        <v/>
      </c>
    </row>
    <row r="95">
      <c r="A95" t="inlineStr">
        <is>
          <t>로지텍 MK235 (병행수입)</t>
        </is>
      </c>
      <c r="B95" s="2" t="n">
        <v>24390</v>
      </c>
      <c r="D95" t="inlineStr">
        <is>
          <t>무선</t>
        </is>
      </c>
      <c r="E95" t="n">
        <v>70</v>
      </c>
      <c r="F95">
        <f>IFERROR(B95/E95,"-")</f>
        <v/>
      </c>
    </row>
    <row r="96">
      <c r="A96" t="inlineStr">
        <is>
          <t>darkFlash GD68 유무선 기계식 (별빛 파랑)</t>
        </is>
      </c>
      <c r="B96" s="2" t="n">
        <v>45010</v>
      </c>
      <c r="D96" t="inlineStr">
        <is>
          <t>유선+무선</t>
        </is>
      </c>
      <c r="E96" t="n">
        <v>1</v>
      </c>
      <c r="F96">
        <f>IFERROR(B96/E96,"-")</f>
        <v/>
      </c>
    </row>
    <row r="97">
      <c r="A97" t="inlineStr">
        <is>
          <t>AULA F87 Pro 유무선 기계식 블러쉬 핑크 한글 (저소음 바다축)</t>
        </is>
      </c>
      <c r="B97" s="2" t="n">
        <v>73000</v>
      </c>
      <c r="C97" t="inlineStr">
        <is>
          <t>저소음 바다축</t>
        </is>
      </c>
      <c r="D97" t="inlineStr">
        <is>
          <t>유선+무선</t>
        </is>
      </c>
      <c r="E97" t="n">
        <v>0</v>
      </c>
      <c r="F97">
        <f>IFERROR(B97/E97,"-")</f>
        <v/>
      </c>
    </row>
    <row r="98">
      <c r="A98" t="inlineStr">
        <is>
          <t>CORSAIR 스키프 100 PLUS</t>
        </is>
      </c>
      <c r="B98" s="2" t="n">
        <v>79000</v>
      </c>
      <c r="D98" t="inlineStr">
        <is>
          <t>유선</t>
        </is>
      </c>
      <c r="E98" t="n">
        <v>0</v>
      </c>
      <c r="F98">
        <f>IFERROR(B98/E98,"-")</f>
        <v/>
      </c>
    </row>
    <row r="99">
      <c r="A99" t="inlineStr">
        <is>
          <t>CORSAIR 갤리온 100 SD 스트림덱 LCD 기계식</t>
        </is>
      </c>
      <c r="B99" s="2" t="n">
        <v>446390</v>
      </c>
      <c r="D99" t="inlineStr">
        <is>
          <t>유선</t>
        </is>
      </c>
      <c r="E99" t="n">
        <v>0</v>
      </c>
      <c r="F99">
        <f>IFERROR(B99/E99,"-")</f>
        <v/>
      </c>
    </row>
    <row r="100">
      <c r="A100" t="inlineStr">
        <is>
          <t>QSENN GP-K7000 (블랙)</t>
        </is>
      </c>
      <c r="B100" s="2" t="n">
        <v>26840</v>
      </c>
      <c r="D100" t="inlineStr">
        <is>
          <t>유선</t>
        </is>
      </c>
      <c r="E100" t="n">
        <v>17</v>
      </c>
      <c r="F100">
        <f>IFERROR(B100/E100,"-")</f>
        <v/>
      </c>
    </row>
    <row r="101">
      <c r="A101" t="inlineStr">
        <is>
          <t>CHERRY XTRFY K5 PRO TMR (블랙)</t>
        </is>
      </c>
      <c r="B101" s="2" t="n">
        <v>99000</v>
      </c>
      <c r="D101" t="inlineStr">
        <is>
          <t>유선</t>
        </is>
      </c>
      <c r="E101" t="n">
        <v>0</v>
      </c>
      <c r="F101">
        <f>IFERROR(B101/E101,"-")</f>
        <v/>
      </c>
    </row>
    <row r="102">
      <c r="A102" s="3" t="inlineStr">
        <is>
          <t>합계/평균</t>
        </is>
      </c>
      <c r="B102" s="2">
        <f>AVERAGE(B2:B101)</f>
        <v/>
      </c>
      <c r="E102">
        <f>SUM(E2:E101)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2026-08-26T21:13:55Z</dcterms:created>
  <dcterms:modified xmlns:dcterms="http://purl.org/dc/terms/" xmlns:xsi="http://www.w3.org/2001/XMLSchema-instance" xsi:type="dcterms:W3CDTF">2026-08-26T21:13:55Z</dcterms:modified>
</cp:coreProperties>
</file>