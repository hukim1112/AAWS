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 요약 (Summary)" sheetId="1" state="visible" r:id="rId1"/>
    <sheet xmlns:r="http://schemas.openxmlformats.org/officeDocument/2006/relationships" name="전체 상품 데이터 (Raw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F172A"/>
      <sz val="16"/>
    </font>
    <font>
      <name val="맑은 고딕"/>
      <i val="1"/>
      <color rgb="0064748B"/>
      <sz val="10"/>
    </font>
    <font>
      <name val="맑은 고딕"/>
      <color rgb="0064748B"/>
      <sz val="9"/>
    </font>
    <font>
      <name val="맑은 고딕"/>
      <b val="1"/>
      <color rgb="002563EB"/>
      <sz val="14"/>
    </font>
    <font>
      <name val="맑은 고딕"/>
      <b val="1"/>
      <color rgb="001E3A8A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다나와 키보드 시장 실시간 통계 분석 리포트</t>
        </is>
      </c>
    </row>
    <row r="3">
      <c r="B3" s="2" t="inlineStr">
        <is>
          <t>수집 표본: 100개 인기 상품 | 기준일자: 2026-08-27</t>
        </is>
      </c>
    </row>
    <row r="5" ht="20" customHeight="1">
      <c r="B5" s="3" t="inlineStr">
        <is>
          <t>총 상품 수</t>
        </is>
      </c>
      <c r="C5" s="3" t="inlineStr">
        <is>
          <t>평균 가격</t>
        </is>
      </c>
      <c r="D5" s="3" t="inlineStr">
        <is>
          <t>중앙값 가격</t>
        </is>
      </c>
      <c r="E5" s="3" t="inlineStr">
        <is>
          <t>최고 가격</t>
        </is>
      </c>
      <c r="F5" s="3" t="inlineStr">
        <is>
          <t>최저 가격</t>
        </is>
      </c>
      <c r="G5" s="3" t="inlineStr">
        <is>
          <t>총 리뷰 수</t>
        </is>
      </c>
    </row>
    <row r="6" ht="30" customHeight="1">
      <c r="B6" s="4">
        <f>COUNT('전체 상품 데이터 (Raw Data)'!D2:D101)</f>
        <v/>
      </c>
      <c r="C6" s="5">
        <f>AVERAGE('전체 상품 데이터 (Raw Data)'!D2:D101)</f>
        <v/>
      </c>
      <c r="D6" s="5">
        <f>MEDIAN('전체 상품 데이터 (Raw Data)'!D2:D101)</f>
        <v/>
      </c>
      <c r="E6" s="5">
        <f>MAX('전체 상품 데이터 (Raw Data)'!D2:D101)</f>
        <v/>
      </c>
      <c r="F6" s="5">
        <f>MIN('전체 상품 데이터 (Raw Data)'!D2:D101)</f>
        <v/>
      </c>
      <c r="G6" s="5">
        <f>SUM('전체 상품 데이터 (Raw Data)'!G2:G101)</f>
        <v/>
      </c>
    </row>
    <row r="9">
      <c r="B9" s="6" t="inlineStr">
        <is>
          <t>1. 주요 브랜드별 점유율 및 평균 가격</t>
        </is>
      </c>
    </row>
    <row r="10" ht="24" customHeight="1">
      <c r="B10" s="7" t="inlineStr">
        <is>
          <t>브랜드</t>
        </is>
      </c>
      <c r="C10" s="7" t="inlineStr">
        <is>
          <t>상품 수 (개)</t>
        </is>
      </c>
      <c r="D10" s="7" t="inlineStr">
        <is>
          <t>시장 점유율</t>
        </is>
      </c>
      <c r="E10" s="7" t="inlineStr">
        <is>
          <t>평균 가격 (원)</t>
        </is>
      </c>
      <c r="F10" s="7" t="inlineStr">
        <is>
          <t>최저 가격 (원)</t>
        </is>
      </c>
      <c r="G10" s="7" t="inlineStr">
        <is>
          <t>최고 가격 (원)</t>
        </is>
      </c>
    </row>
    <row r="11" ht="20" customHeight="1">
      <c r="B11" s="8" t="inlineStr">
        <is>
          <t>로지텍 (Logitech)</t>
        </is>
      </c>
      <c r="C11" s="9">
        <f>COUNTIF('전체 상품 데이터 (Raw Data)'!$B$2:$B$101, "로지텍 (Logitech)")</f>
        <v/>
      </c>
      <c r="D11" s="10">
        <f>C11/$B$6</f>
        <v/>
      </c>
      <c r="E11" s="11">
        <f>AVERAGEIF('전체 상품 데이터 (Raw Data)'!$B$2:$B$101, "로지텍 (Logitech)", '전체 상품 데이터 (Raw Data)'!$D$2:$D$101)</f>
        <v/>
      </c>
      <c r="F11" s="11">
        <f>MINIFS('전체 상품 데이터 (Raw Data)'!$D$2:$D$101, '전체 상품 데이터 (Raw Data)'!$B$2:$B$101, "로지텍 (Logitech)")</f>
        <v/>
      </c>
      <c r="G11" s="11">
        <f>MAXIFS('전체 상품 데이터 (Raw Data)'!$D$2:$D$101, '전체 상품 데이터 (Raw Data)'!$B$2:$B$101, "로지텍 (Logitech)")</f>
        <v/>
      </c>
    </row>
    <row r="12" ht="20" customHeight="1">
      <c r="B12" s="8" t="inlineStr">
        <is>
          <t>앱코 (ABKO)</t>
        </is>
      </c>
      <c r="C12" s="9">
        <f>COUNTIF('전체 상품 데이터 (Raw Data)'!$B$2:$B$101, "앱코 (ABKO)")</f>
        <v/>
      </c>
      <c r="D12" s="10">
        <f>C12/$B$6</f>
        <v/>
      </c>
      <c r="E12" s="11">
        <f>AVERAGEIF('전체 상품 데이터 (Raw Data)'!$B$2:$B$101, "앱코 (ABKO)", '전체 상품 데이터 (Raw Data)'!$D$2:$D$101)</f>
        <v/>
      </c>
      <c r="F12" s="11">
        <f>MINIFS('전체 상품 데이터 (Raw Data)'!$D$2:$D$101, '전체 상품 데이터 (Raw Data)'!$B$2:$B$101, "앱코 (ABKO)")</f>
        <v/>
      </c>
      <c r="G12" s="11">
        <f>MAXIFS('전체 상품 데이터 (Raw Data)'!$D$2:$D$101, '전체 상품 데이터 (Raw Data)'!$B$2:$B$101, "앱코 (ABKO)")</f>
        <v/>
      </c>
    </row>
    <row r="13" ht="20" customHeight="1">
      <c r="B13" s="8" t="inlineStr">
        <is>
          <t>AULA (독거미)</t>
        </is>
      </c>
      <c r="C13" s="9">
        <f>COUNTIF('전체 상품 데이터 (Raw Data)'!$B$2:$B$101, "AULA (독거미)")</f>
        <v/>
      </c>
      <c r="D13" s="10">
        <f>C13/$B$6</f>
        <v/>
      </c>
      <c r="E13" s="11">
        <f>AVERAGEIF('전체 상품 데이터 (Raw Data)'!$B$2:$B$101, "AULA (독거미)", '전체 상품 데이터 (Raw Data)'!$D$2:$D$101)</f>
        <v/>
      </c>
      <c r="F13" s="11">
        <f>MINIFS('전체 상품 데이터 (Raw Data)'!$D$2:$D$101, '전체 상품 데이터 (Raw Data)'!$B$2:$B$101, "AULA (독거미)")</f>
        <v/>
      </c>
      <c r="G13" s="11">
        <f>MAXIFS('전체 상품 데이터 (Raw Data)'!$D$2:$D$101, '전체 상품 데이터 (Raw Data)'!$B$2:$B$101, "AULA (독거미)")</f>
        <v/>
      </c>
    </row>
    <row r="14" ht="20" customHeight="1">
      <c r="B14" s="8" t="inlineStr">
        <is>
          <t>COX</t>
        </is>
      </c>
      <c r="C14" s="9">
        <f>COUNTIF('전체 상품 데이터 (Raw Data)'!$B$2:$B$101, "COX")</f>
        <v/>
      </c>
      <c r="D14" s="10">
        <f>C14/$B$6</f>
        <v/>
      </c>
      <c r="E14" s="11">
        <f>AVERAGEIF('전체 상품 데이터 (Raw Data)'!$B$2:$B$101, "COX", '전체 상품 데이터 (Raw Data)'!$D$2:$D$101)</f>
        <v/>
      </c>
      <c r="F14" s="11">
        <f>MINIFS('전체 상품 데이터 (Raw Data)'!$D$2:$D$101, '전체 상품 데이터 (Raw Data)'!$B$2:$B$101, "COX")</f>
        <v/>
      </c>
      <c r="G14" s="11">
        <f>MAXIFS('전체 상품 데이터 (Raw Data)'!$D$2:$D$101, '전체 상품 데이터 (Raw Data)'!$B$2:$B$101, "COX")</f>
        <v/>
      </c>
    </row>
    <row r="15" ht="20" customHeight="1">
      <c r="B15" s="8" t="inlineStr">
        <is>
          <t>커세어 (CORSAIR)</t>
        </is>
      </c>
      <c r="C15" s="9">
        <f>COUNTIF('전체 상품 데이터 (Raw Data)'!$B$2:$B$101, "커세어 (CORSAIR)")</f>
        <v/>
      </c>
      <c r="D15" s="10">
        <f>C15/$B$6</f>
        <v/>
      </c>
      <c r="E15" s="11">
        <f>AVERAGEIF('전체 상품 데이터 (Raw Data)'!$B$2:$B$101, "커세어 (CORSAIR)", '전체 상품 데이터 (Raw Data)'!$D$2:$D$101)</f>
        <v/>
      </c>
      <c r="F15" s="11">
        <f>MINIFS('전체 상품 데이터 (Raw Data)'!$D$2:$D$101, '전체 상품 데이터 (Raw Data)'!$B$2:$B$101, "커세어 (CORSAIR)")</f>
        <v/>
      </c>
      <c r="G15" s="11">
        <f>MAXIFS('전체 상품 데이터 (Raw Data)'!$D$2:$D$101, '전체 상품 데이터 (Raw Data)'!$B$2:$B$101, "커세어 (CORSAIR)")</f>
        <v/>
      </c>
    </row>
    <row r="16" ht="20" customHeight="1">
      <c r="B16" s="8" t="inlineStr">
        <is>
          <t>FL-ESPORTS</t>
        </is>
      </c>
      <c r="C16" s="9">
        <f>COUNTIF('전체 상품 데이터 (Raw Data)'!$B$2:$B$101, "FL-ESPORTS")</f>
        <v/>
      </c>
      <c r="D16" s="10">
        <f>C16/$B$6</f>
        <v/>
      </c>
      <c r="E16" s="11">
        <f>AVERAGEIF('전체 상품 데이터 (Raw Data)'!$B$2:$B$101, "FL-ESPORTS", '전체 상품 데이터 (Raw Data)'!$D$2:$D$101)</f>
        <v/>
      </c>
      <c r="F16" s="11">
        <f>MINIFS('전체 상품 데이터 (Raw Data)'!$D$2:$D$101, '전체 상품 데이터 (Raw Data)'!$B$2:$B$101, "FL-ESPORTS")</f>
        <v/>
      </c>
      <c r="G16" s="11">
        <f>MAXIFS('전체 상품 데이터 (Raw Data)'!$D$2:$D$101, '전체 상품 데이터 (Raw Data)'!$B$2:$B$101, "FL-ESPORTS")</f>
        <v/>
      </c>
    </row>
    <row r="17" ht="20" customHeight="1">
      <c r="B17" s="8" t="inlineStr">
        <is>
          <t>프리플로우</t>
        </is>
      </c>
      <c r="C17" s="9">
        <f>COUNTIF('전체 상품 데이터 (Raw Data)'!$B$2:$B$101, "프리플로우")</f>
        <v/>
      </c>
      <c r="D17" s="10">
        <f>C17/$B$6</f>
        <v/>
      </c>
      <c r="E17" s="11">
        <f>AVERAGEIF('전체 상품 데이터 (Raw Data)'!$B$2:$B$101, "프리플로우", '전체 상품 데이터 (Raw Data)'!$D$2:$D$101)</f>
        <v/>
      </c>
      <c r="F17" s="11">
        <f>MINIFS('전체 상품 데이터 (Raw Data)'!$D$2:$D$101, '전체 상품 데이터 (Raw Data)'!$B$2:$B$101, "프리플로우")</f>
        <v/>
      </c>
      <c r="G17" s="11">
        <f>MAXIFS('전체 상품 데이터 (Raw Data)'!$D$2:$D$101, '전체 상품 데이터 (Raw Data)'!$B$2:$B$101, "프리플로우")</f>
        <v/>
      </c>
    </row>
    <row r="18" ht="20" customHeight="1">
      <c r="B18" s="8" t="inlineStr">
        <is>
          <t>darkFlash</t>
        </is>
      </c>
      <c r="C18" s="9">
        <f>COUNTIF('전체 상품 데이터 (Raw Data)'!$B$2:$B$101, "darkFlash")</f>
        <v/>
      </c>
      <c r="D18" s="10">
        <f>C18/$B$6</f>
        <v/>
      </c>
      <c r="E18" s="11">
        <f>AVERAGEIF('전체 상품 데이터 (Raw Data)'!$B$2:$B$101, "darkFlash", '전체 상품 데이터 (Raw Data)'!$D$2:$D$101)</f>
        <v/>
      </c>
      <c r="F18" s="11">
        <f>MINIFS('전체 상품 데이터 (Raw Data)'!$D$2:$D$101, '전체 상품 데이터 (Raw Data)'!$B$2:$B$101, "darkFlash")</f>
        <v/>
      </c>
      <c r="G18" s="11">
        <f>MAXIFS('전체 상품 데이터 (Raw Data)'!$D$2:$D$101, '전체 상품 데이터 (Raw Data)'!$B$2:$B$101, "darkFlash")</f>
        <v/>
      </c>
    </row>
    <row r="21">
      <c r="B21" s="6" t="inlineStr">
        <is>
          <t>2. 연결 방식별 점유율 및 평균 가격</t>
        </is>
      </c>
    </row>
    <row r="22" ht="24" customHeight="1">
      <c r="B22" s="7" t="inlineStr">
        <is>
          <t>연결 방식</t>
        </is>
      </c>
      <c r="C22" s="7" t="inlineStr">
        <is>
          <t>상품 수 (개)</t>
        </is>
      </c>
      <c r="D22" s="7" t="inlineStr">
        <is>
          <t>점유율</t>
        </is>
      </c>
      <c r="E22" s="7" t="inlineStr">
        <is>
          <t>평균 가격 (원)</t>
        </is>
      </c>
      <c r="F22" s="7" t="inlineStr">
        <is>
          <t>총 리뷰 수 (건)</t>
        </is>
      </c>
    </row>
    <row r="23" ht="20" customHeight="1">
      <c r="B23" s="8" t="inlineStr">
        <is>
          <t>유선</t>
        </is>
      </c>
      <c r="C23" s="9">
        <f>COUNTIF('전체 상품 데이터 (Raw Data)'!$F$2:$F$101, "유선")</f>
        <v/>
      </c>
      <c r="D23" s="10">
        <f>C23/$B$6</f>
        <v/>
      </c>
      <c r="E23" s="11">
        <f>AVERAGEIF('전체 상품 데이터 (Raw Data)'!$F$2:$F$101, "유선", '전체 상품 데이터 (Raw Data)'!$D$2:$D$101)</f>
        <v/>
      </c>
      <c r="F23" s="11">
        <f>SUMIF('전체 상품 데이터 (Raw Data)'!$F$2:$F$101, "유선", '전체 상품 데이터 (Raw Data)'!$G$2:$G$101)</f>
        <v/>
      </c>
    </row>
    <row r="24" ht="20" customHeight="1">
      <c r="B24" s="8" t="inlineStr">
        <is>
          <t>유선+무선</t>
        </is>
      </c>
      <c r="C24" s="9">
        <f>COUNTIF('전체 상품 데이터 (Raw Data)'!$F$2:$F$101, "유선+무선")</f>
        <v/>
      </c>
      <c r="D24" s="10">
        <f>C24/$B$6</f>
        <v/>
      </c>
      <c r="E24" s="11">
        <f>AVERAGEIF('전체 상품 데이터 (Raw Data)'!$F$2:$F$101, "유선+무선", '전체 상품 데이터 (Raw Data)'!$D$2:$D$101)</f>
        <v/>
      </c>
      <c r="F24" s="11">
        <f>SUMIF('전체 상품 데이터 (Raw Data)'!$F$2:$F$101, "유선+무선", '전체 상품 데이터 (Raw Data)'!$G$2:$G$101)</f>
        <v/>
      </c>
    </row>
    <row r="25" ht="20" customHeight="1">
      <c r="B25" s="8" t="inlineStr">
        <is>
          <t>무선</t>
        </is>
      </c>
      <c r="C25" s="9">
        <f>COUNTIF('전체 상품 데이터 (Raw Data)'!$F$2:$F$101, "무선")</f>
        <v/>
      </c>
      <c r="D25" s="10">
        <f>C25/$B$6</f>
        <v/>
      </c>
      <c r="E25" s="11">
        <f>AVERAGEIF('전체 상품 데이터 (Raw Data)'!$F$2:$F$101, "무선", '전체 상품 데이터 (Raw Data)'!$D$2:$D$101)</f>
        <v/>
      </c>
      <c r="F25" s="11">
        <f>SUMIF('전체 상품 데이터 (Raw Data)'!$F$2:$F$101, "무선", '전체 상품 데이터 (Raw Data)'!$G$2:$G$101)</f>
        <v/>
      </c>
    </row>
    <row r="26" ht="20" customHeight="1">
      <c r="B26" s="8" t="inlineStr">
        <is>
          <t>미표기</t>
        </is>
      </c>
      <c r="C26" s="9">
        <f>COUNTIF('전체 상품 데이터 (Raw Data)'!$F$2:$F$101, "미표기")</f>
        <v/>
      </c>
      <c r="D26" s="10">
        <f>C26/$B$6</f>
        <v/>
      </c>
      <c r="E26" s="11">
        <f>AVERAGEIF('전체 상품 데이터 (Raw Data)'!$F$2:$F$101, "미표기", '전체 상품 데이터 (Raw Data)'!$D$2:$D$101)</f>
        <v/>
      </c>
      <c r="F26" s="11">
        <f>SUMIF('전체 상품 데이터 (Raw Data)'!$F$2:$F$101, "미표기", '전체 상품 데이터 (Raw Data)'!$G$2:$G$101)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14" customWidth="1" min="4" max="4"/>
    <col width="18" customWidth="1" min="5" max="5"/>
    <col width="14" customWidth="1" min="6" max="6"/>
    <col width="12" customWidth="1" min="7" max="7"/>
    <col width="30" customWidth="1" min="8" max="8"/>
  </cols>
  <sheetData>
    <row r="1" ht="28" customHeight="1">
      <c r="A1" s="12" t="inlineStr">
        <is>
          <t>No</t>
        </is>
      </c>
      <c r="B1" s="12" t="inlineStr">
        <is>
          <t>브랜드</t>
        </is>
      </c>
      <c r="C1" s="12" t="inlineStr">
        <is>
          <t>상품명</t>
        </is>
      </c>
      <c r="D1" s="12" t="inlineStr">
        <is>
          <t>가격 (원)</t>
        </is>
      </c>
      <c r="E1" s="12" t="inlineStr">
        <is>
          <t>스위치 종류</t>
        </is>
      </c>
      <c r="F1" s="12" t="inlineStr">
        <is>
          <t>연결 방식</t>
        </is>
      </c>
      <c r="G1" s="12" t="inlineStr">
        <is>
          <t>리뷰 수</t>
        </is>
      </c>
      <c r="H1" s="12" t="inlineStr">
        <is>
          <t>가격대 구간</t>
        </is>
      </c>
    </row>
    <row r="2" ht="20" customHeight="1">
      <c r="A2" s="8" t="n">
        <v>1</v>
      </c>
      <c r="B2" s="8" t="inlineStr">
        <is>
          <t>AULA (독거미)</t>
        </is>
      </c>
      <c r="C2" s="13" t="inlineStr">
        <is>
          <t>AULA F108 PRO 유무선 기계식 치즈 화이트 한글 (저소음 바다축)</t>
        </is>
      </c>
      <c r="D2" s="11" t="n">
        <v>89000</v>
      </c>
      <c r="E2" s="8" t="inlineStr">
        <is>
          <t>저소음 바다축</t>
        </is>
      </c>
      <c r="F2" s="8" t="inlineStr">
        <is>
          <t>유선+무선</t>
        </is>
      </c>
      <c r="G2" s="11" t="n">
        <v>50</v>
      </c>
      <c r="H2" s="13" t="inlineStr">
        <is>
          <t>7~15만원 (고급형/커스텀/무선)</t>
        </is>
      </c>
    </row>
    <row r="3" ht="20" customHeight="1">
      <c r="A3" s="8" t="n">
        <v>2</v>
      </c>
      <c r="B3" s="8" t="inlineStr">
        <is>
          <t>AULA (독거미)</t>
        </is>
      </c>
      <c r="C3" s="13" t="inlineStr">
        <is>
          <t>AULA F87 Pro 유무선 기계식 인디고 블랙 한글 (저소음 피치축 V2)</t>
        </is>
      </c>
      <c r="D3" s="11" t="n">
        <v>67000</v>
      </c>
      <c r="E3" s="8" t="inlineStr">
        <is>
          <t>저소음 피치축 V2</t>
        </is>
      </c>
      <c r="F3" s="8" t="inlineStr">
        <is>
          <t>유선+무선</t>
        </is>
      </c>
      <c r="G3" s="11" t="n">
        <v>34</v>
      </c>
      <c r="H3" s="13" t="inlineStr">
        <is>
          <t>3~7만원 (가성비 기계식/메인스트림)</t>
        </is>
      </c>
    </row>
    <row r="4" ht="20" customHeight="1">
      <c r="A4" s="8" t="n">
        <v>3</v>
      </c>
      <c r="B4" s="8" t="inlineStr">
        <is>
          <t>FL-ESPORTS</t>
        </is>
      </c>
      <c r="C4" s="13" t="inlineStr">
        <is>
          <t>FL-ESPORTS NX87HE 민트 블랙 (저소음 스톰축)</t>
        </is>
      </c>
      <c r="D4" s="11" t="n">
        <v>98000</v>
      </c>
      <c r="E4" s="8" t="inlineStr">
        <is>
          <t>저소음 스톰축</t>
        </is>
      </c>
      <c r="F4" s="8" t="inlineStr">
        <is>
          <t>유선</t>
        </is>
      </c>
      <c r="G4" s="11" t="n">
        <v>1</v>
      </c>
      <c r="H4" s="13" t="inlineStr">
        <is>
          <t>7~15만원 (고급형/커스텀/무선)</t>
        </is>
      </c>
    </row>
    <row r="5" ht="20" customHeight="1">
      <c r="A5" s="8" t="n">
        <v>4</v>
      </c>
      <c r="B5" s="8" t="inlineStr">
        <is>
          <t>AULA (독거미)</t>
        </is>
      </c>
      <c r="C5" s="13" t="inlineStr">
        <is>
          <t>AULA F87 Pro 기계식 다크 올리비아 한글 (저소음 바다축)</t>
        </is>
      </c>
      <c r="D5" s="11" t="n">
        <v>48000</v>
      </c>
      <c r="E5" s="8" t="inlineStr">
        <is>
          <t>저소음 바다축</t>
        </is>
      </c>
      <c r="F5" s="8" t="inlineStr">
        <is>
          <t>유선</t>
        </is>
      </c>
      <c r="G5" s="11" t="n">
        <v>13</v>
      </c>
      <c r="H5" s="13" t="inlineStr">
        <is>
          <t>3~7만원 (가성비 기계식/메인스트림)</t>
        </is>
      </c>
    </row>
    <row r="6" ht="20" customHeight="1">
      <c r="A6" s="8" t="n">
        <v>5</v>
      </c>
      <c r="B6" s="8" t="inlineStr">
        <is>
          <t>앱코 (ABKO)</t>
        </is>
      </c>
      <c r="C6" s="13" t="inlineStr">
        <is>
          <t>앱코 K560 축교환 레인보우 무빙 LED 기계식 블랙 (적축)</t>
        </is>
      </c>
      <c r="D6" s="11" t="n">
        <v>28510</v>
      </c>
      <c r="E6" s="8" t="inlineStr">
        <is>
          <t>적축</t>
        </is>
      </c>
      <c r="F6" s="8" t="inlineStr">
        <is>
          <t>유선</t>
        </is>
      </c>
      <c r="G6" s="11" t="n">
        <v>126</v>
      </c>
      <c r="H6" s="13" t="inlineStr">
        <is>
          <t>3만원 미만 (초가성비/보급형)</t>
        </is>
      </c>
    </row>
    <row r="7" ht="20" customHeight="1">
      <c r="A7" s="8" t="n">
        <v>6</v>
      </c>
      <c r="B7" s="8" t="inlineStr">
        <is>
          <t>로지텍 (Logitech)</t>
        </is>
      </c>
      <c r="C7" s="13" t="inlineStr">
        <is>
          <t>로지텍 KEYS-TO-GO 2 (정품) (그라파이트)</t>
        </is>
      </c>
      <c r="D7" s="11" t="n">
        <v>84900</v>
      </c>
      <c r="E7" s="8" t="inlineStr">
        <is>
          <t>-</t>
        </is>
      </c>
      <c r="F7" s="8" t="inlineStr">
        <is>
          <t>무선</t>
        </is>
      </c>
      <c r="G7" s="11" t="n">
        <v>91</v>
      </c>
      <c r="H7" s="13" t="inlineStr">
        <is>
          <t>7~15만원 (고급형/커스텀/무선)</t>
        </is>
      </c>
    </row>
    <row r="8" ht="20" customHeight="1">
      <c r="A8" s="8" t="n">
        <v>7</v>
      </c>
      <c r="B8" s="8" t="inlineStr">
        <is>
          <t>커세어 (CORSAIR)</t>
        </is>
      </c>
      <c r="C8" s="13" t="inlineStr">
        <is>
          <t>CORSAIR 뱅가드 AIR 99 무선 (화이트)</t>
        </is>
      </c>
      <c r="D8" s="11" t="n">
        <v>359440</v>
      </c>
      <c r="E8" s="8" t="inlineStr">
        <is>
          <t>-</t>
        </is>
      </c>
      <c r="F8" s="8" t="inlineStr">
        <is>
          <t>유선+무선</t>
        </is>
      </c>
      <c r="G8" s="11" t="n">
        <v>1</v>
      </c>
      <c r="H8" s="13" t="inlineStr">
        <is>
          <t>15만원 이상 (하이엔드/플래그십)</t>
        </is>
      </c>
    </row>
    <row r="9" ht="20" customHeight="1">
      <c r="A9" s="8" t="n">
        <v>8</v>
      </c>
      <c r="B9" s="8" t="inlineStr">
        <is>
          <t>로지텍 (Logitech)</t>
        </is>
      </c>
      <c r="C9" s="13" t="inlineStr">
        <is>
          <t>로지텍 MK295 SILENT (정품) (블랙)</t>
        </is>
      </c>
      <c r="D9" s="11" t="n">
        <v>37900</v>
      </c>
      <c r="E9" s="8" t="inlineStr">
        <is>
          <t>-</t>
        </is>
      </c>
      <c r="F9" s="8" t="inlineStr">
        <is>
          <t>무선</t>
        </is>
      </c>
      <c r="G9" s="11" t="n">
        <v>327</v>
      </c>
      <c r="H9" s="13" t="inlineStr">
        <is>
          <t>3~7만원 (가성비 기계식/메인스트림)</t>
        </is>
      </c>
    </row>
    <row r="10" ht="20" customHeight="1">
      <c r="A10" s="8" t="n">
        <v>9</v>
      </c>
      <c r="B10" s="8" t="inlineStr">
        <is>
          <t>커세어 (CORSAIR)</t>
        </is>
      </c>
      <c r="C10" s="13" t="inlineStr">
        <is>
          <t>CORSAIR 뱅가드 PRO 96 게이밍</t>
        </is>
      </c>
      <c r="D10" s="11" t="n">
        <v>208990</v>
      </c>
      <c r="E10" s="8" t="inlineStr">
        <is>
          <t>-</t>
        </is>
      </c>
      <c r="F10" s="8" t="inlineStr">
        <is>
          <t>유선</t>
        </is>
      </c>
      <c r="G10" s="11" t="n">
        <v>7</v>
      </c>
      <c r="H10" s="13" t="inlineStr">
        <is>
          <t>15만원 이상 (하이엔드/플래그십)</t>
        </is>
      </c>
    </row>
    <row r="11" ht="20" customHeight="1">
      <c r="A11" s="8" t="n">
        <v>10</v>
      </c>
      <c r="B11" s="8" t="inlineStr">
        <is>
          <t>레이저 (Razer)</t>
        </is>
      </c>
      <c r="C11" s="13" t="inlineStr">
        <is>
          <t>Razer Huntsman V3 HE Magnetic TKL</t>
        </is>
      </c>
      <c r="D11" s="11" t="n">
        <v>239000</v>
      </c>
      <c r="E11" s="8" t="inlineStr">
        <is>
          <t>-</t>
        </is>
      </c>
      <c r="F11" s="8" t="inlineStr">
        <is>
          <t>유선</t>
        </is>
      </c>
      <c r="G11" s="11" t="n">
        <v>0</v>
      </c>
      <c r="H11" s="13" t="inlineStr">
        <is>
          <t>15만원 이상 (하이엔드/플래그십)</t>
        </is>
      </c>
    </row>
    <row r="12" ht="20" customHeight="1">
      <c r="A12" s="8" t="n">
        <v>11</v>
      </c>
      <c r="B12" s="8" t="inlineStr">
        <is>
          <t>AULA (독거미)</t>
        </is>
      </c>
      <c r="C12" s="13" t="inlineStr">
        <is>
          <t>AULA F108 기계식 라이트 그레이 (저소음 바다축)</t>
        </is>
      </c>
      <c r="D12" s="11" t="n">
        <v>65000</v>
      </c>
      <c r="E12" s="8" t="inlineStr">
        <is>
          <t>저소음 바다축</t>
        </is>
      </c>
      <c r="F12" s="8" t="inlineStr">
        <is>
          <t>유선</t>
        </is>
      </c>
      <c r="G12" s="11" t="n">
        <v>13</v>
      </c>
      <c r="H12" s="13" t="inlineStr">
        <is>
          <t>3~7만원 (가성비 기계식/메인스트림)</t>
        </is>
      </c>
    </row>
    <row r="13" ht="20" customHeight="1">
      <c r="A13" s="8" t="n">
        <v>12</v>
      </c>
      <c r="B13" s="8" t="inlineStr">
        <is>
          <t>AULA (독거미)</t>
        </is>
      </c>
      <c r="C13" s="13" t="inlineStr">
        <is>
          <t>AULA F108 유무선 기계식 스카이 블랙 한글 (저소음 바다축)</t>
        </is>
      </c>
      <c r="D13" s="11" t="n">
        <v>82000</v>
      </c>
      <c r="E13" s="8" t="inlineStr">
        <is>
          <t>저소음 바다축</t>
        </is>
      </c>
      <c r="F13" s="8" t="inlineStr">
        <is>
          <t>유선+무선</t>
        </is>
      </c>
      <c r="G13" s="11" t="n">
        <v>129</v>
      </c>
      <c r="H13" s="13" t="inlineStr">
        <is>
          <t>7~15만원 (고급형/커스텀/무선)</t>
        </is>
      </c>
    </row>
    <row r="14" ht="20" customHeight="1">
      <c r="A14" s="8" t="n">
        <v>13</v>
      </c>
      <c r="B14" s="8" t="inlineStr">
        <is>
          <t>AULA (독거미)</t>
        </is>
      </c>
      <c r="C14" s="13" t="inlineStr">
        <is>
          <t>AULA F87 Pro V2 유무선 기계식 모던 블랙 (저소음 바다축)</t>
        </is>
      </c>
      <c r="D14" s="11" t="n">
        <v>85000</v>
      </c>
      <c r="E14" s="8" t="inlineStr">
        <is>
          <t>저소음 바다축</t>
        </is>
      </c>
      <c r="F14" s="8" t="inlineStr">
        <is>
          <t>유선+무선</t>
        </is>
      </c>
      <c r="G14" s="11" t="n">
        <v>0</v>
      </c>
      <c r="H14" s="13" t="inlineStr">
        <is>
          <t>7~15만원 (고급형/커스텀/무선)</t>
        </is>
      </c>
    </row>
    <row r="15" ht="20" customHeight="1">
      <c r="A15" s="8" t="n">
        <v>14</v>
      </c>
      <c r="B15" s="8" t="inlineStr">
        <is>
          <t>COX</t>
        </is>
      </c>
      <c r="C15" s="13" t="inlineStr">
        <is>
          <t>COX CKM40W 저소음 무선 키보드 마우스 세트 (블랙)</t>
        </is>
      </c>
      <c r="D15" s="11" t="n">
        <v>17590</v>
      </c>
      <c r="E15" s="8" t="inlineStr">
        <is>
          <t>-</t>
        </is>
      </c>
      <c r="F15" s="8" t="inlineStr">
        <is>
          <t>무선</t>
        </is>
      </c>
      <c r="G15" s="11" t="n">
        <v>25</v>
      </c>
      <c r="H15" s="13" t="inlineStr">
        <is>
          <t>3만원 미만 (초가성비/보급형)</t>
        </is>
      </c>
    </row>
    <row r="16" ht="20" customHeight="1">
      <c r="A16" s="8" t="n">
        <v>15</v>
      </c>
      <c r="B16" s="8" t="inlineStr">
        <is>
          <t>로지텍 (Logitech)</t>
        </is>
      </c>
      <c r="C16" s="13" t="inlineStr">
        <is>
          <t>로지텍 MK250 무선 키보드 마우스 세트</t>
        </is>
      </c>
      <c r="D16" s="11" t="n">
        <v>25900</v>
      </c>
      <c r="E16" s="8" t="inlineStr">
        <is>
          <t>-</t>
        </is>
      </c>
      <c r="F16" s="8" t="inlineStr">
        <is>
          <t>무선</t>
        </is>
      </c>
      <c r="G16" s="11" t="n">
        <v>32</v>
      </c>
      <c r="H16" s="13" t="inlineStr">
        <is>
          <t>3만원 미만 (초가성비/보급형)</t>
        </is>
      </c>
    </row>
    <row r="17" ht="20" customHeight="1">
      <c r="A17" s="8" t="n">
        <v>16</v>
      </c>
      <c r="B17" s="8" t="inlineStr">
        <is>
          <t>앱코 (ABKO)</t>
        </is>
      </c>
      <c r="C17" s="13" t="inlineStr">
        <is>
          <t>앱코 ACH105 오피스워커 유무선 기계식 블랙 (저소음 바다소금축)</t>
        </is>
      </c>
      <c r="D17" s="11" t="n">
        <v>79000</v>
      </c>
      <c r="E17" s="8" t="inlineStr">
        <is>
          <t>저소음 바다소금축</t>
        </is>
      </c>
      <c r="F17" s="8" t="inlineStr">
        <is>
          <t>유선+무선</t>
        </is>
      </c>
      <c r="G17" s="11" t="n">
        <v>0</v>
      </c>
      <c r="H17" s="13" t="inlineStr">
        <is>
          <t>7~15만원 (고급형/커스텀/무선)</t>
        </is>
      </c>
    </row>
    <row r="18" ht="20" customHeight="1">
      <c r="A18" s="8" t="n">
        <v>17</v>
      </c>
      <c r="B18" s="8" t="inlineStr">
        <is>
          <t>AULA (독거미)</t>
        </is>
      </c>
      <c r="C18" s="13" t="inlineStr">
        <is>
          <t>AULA S102Pro 유무선 (그레이)</t>
        </is>
      </c>
      <c r="D18" s="11" t="n">
        <v>29800</v>
      </c>
      <c r="E18" s="8" t="inlineStr">
        <is>
          <t>-</t>
        </is>
      </c>
      <c r="F18" s="8" t="inlineStr">
        <is>
          <t>유선+무선</t>
        </is>
      </c>
      <c r="G18" s="11" t="n">
        <v>10</v>
      </c>
      <c r="H18" s="13" t="inlineStr">
        <is>
          <t>3만원 미만 (초가성비/보급형)</t>
        </is>
      </c>
    </row>
    <row r="19" ht="20" customHeight="1">
      <c r="A19" s="8" t="n">
        <v>18</v>
      </c>
      <c r="B19" s="8" t="inlineStr">
        <is>
          <t>로지텍 (Logitech)</t>
        </is>
      </c>
      <c r="C19" s="13" t="inlineStr">
        <is>
          <t>로지텍 시그니처 MK650 (정품) (그라파이트)</t>
        </is>
      </c>
      <c r="D19" s="11" t="n">
        <v>79900</v>
      </c>
      <c r="E19" s="8" t="inlineStr">
        <is>
          <t>-</t>
        </is>
      </c>
      <c r="F19" s="8" t="inlineStr">
        <is>
          <t>무선</t>
        </is>
      </c>
      <c r="G19" s="11" t="n">
        <v>60</v>
      </c>
      <c r="H19" s="13" t="inlineStr">
        <is>
          <t>7~15만원 (고급형/커스텀/무선)</t>
        </is>
      </c>
    </row>
    <row r="20" ht="20" customHeight="1">
      <c r="A20" s="8" t="n">
        <v>19</v>
      </c>
      <c r="B20" s="8" t="inlineStr">
        <is>
          <t>ASUS</t>
        </is>
      </c>
      <c r="C20" s="13" t="inlineStr">
        <is>
          <t>ASUS ROG AZOTH X 유무선 기계식 (SNOW축)</t>
        </is>
      </c>
      <c r="D20" s="11" t="n">
        <v>299000</v>
      </c>
      <c r="E20" s="8" t="inlineStr">
        <is>
          <t>SNOW축</t>
        </is>
      </c>
      <c r="F20" s="8" t="inlineStr">
        <is>
          <t>유선+무선</t>
        </is>
      </c>
      <c r="G20" s="11" t="n">
        <v>2</v>
      </c>
      <c r="H20" s="13" t="inlineStr">
        <is>
          <t>15만원 이상 (하이엔드/플래그십)</t>
        </is>
      </c>
    </row>
    <row r="21" ht="20" customHeight="1">
      <c r="A21" s="8" t="n">
        <v>20</v>
      </c>
      <c r="B21" s="8" t="inlineStr">
        <is>
          <t>로지텍 (Logitech)</t>
        </is>
      </c>
      <c r="C21" s="13" t="inlineStr">
        <is>
          <t>로지텍 MK235 (정품) (키스킨 미포함)</t>
        </is>
      </c>
      <c r="D21" s="11" t="n">
        <v>25550</v>
      </c>
      <c r="E21" s="8" t="inlineStr">
        <is>
          <t>-</t>
        </is>
      </c>
      <c r="F21" s="8" t="inlineStr">
        <is>
          <t>무선</t>
        </is>
      </c>
      <c r="G21" s="11" t="n">
        <v>650</v>
      </c>
      <c r="H21" s="13" t="inlineStr">
        <is>
          <t>3만원 미만 (초가성비/보급형)</t>
        </is>
      </c>
    </row>
    <row r="22" ht="20" customHeight="1">
      <c r="A22" s="8" t="n">
        <v>21</v>
      </c>
      <c r="B22" s="8" t="inlineStr">
        <is>
          <t>로지텍 (Logitech)</t>
        </is>
      </c>
      <c r="C22" s="13" t="inlineStr">
        <is>
          <t>로지텍 시그니처 슬림 MK950 키보드 마우스 세트 (정품) (그래파이트)</t>
        </is>
      </c>
      <c r="D22" s="11" t="n">
        <v>118990</v>
      </c>
      <c r="E22" s="8" t="inlineStr">
        <is>
          <t>-</t>
        </is>
      </c>
      <c r="F22" s="8" t="inlineStr">
        <is>
          <t>무선</t>
        </is>
      </c>
      <c r="G22" s="11" t="n">
        <v>61</v>
      </c>
      <c r="H22" s="13" t="inlineStr">
        <is>
          <t>7~15만원 (고급형/커스텀/무선)</t>
        </is>
      </c>
    </row>
    <row r="23" ht="20" customHeight="1">
      <c r="A23" s="8" t="n">
        <v>22</v>
      </c>
      <c r="B23" s="8" t="inlineStr">
        <is>
          <t>로지텍 (Logitech)</t>
        </is>
      </c>
      <c r="C23" s="13" t="inlineStr">
        <is>
          <t>로지텍 K380S (정품) (스모키블랙)</t>
        </is>
      </c>
      <c r="D23" s="11" t="n">
        <v>30490</v>
      </c>
      <c r="E23" s="8" t="inlineStr">
        <is>
          <t>-</t>
        </is>
      </c>
      <c r="F23" s="8" t="inlineStr">
        <is>
          <t>무선</t>
        </is>
      </c>
      <c r="G23" s="11" t="n">
        <v>167</v>
      </c>
      <c r="H23" s="13" t="inlineStr">
        <is>
          <t>3~7만원 (가성비 기계식/메인스트림)</t>
        </is>
      </c>
    </row>
    <row r="24" ht="20" customHeight="1">
      <c r="A24" s="8" t="n">
        <v>23</v>
      </c>
      <c r="B24" s="8" t="inlineStr">
        <is>
          <t>로지텍 (Logitech)</t>
        </is>
      </c>
      <c r="C24" s="13" t="inlineStr">
        <is>
          <t>로지텍 MX Keys S (정품) (그라파이트)</t>
        </is>
      </c>
      <c r="D24" s="11" t="n">
        <v>139000</v>
      </c>
      <c r="E24" s="8" t="inlineStr">
        <is>
          <t>-</t>
        </is>
      </c>
      <c r="F24" s="8" t="inlineStr">
        <is>
          <t>무선</t>
        </is>
      </c>
      <c r="G24" s="11" t="n">
        <v>81</v>
      </c>
      <c r="H24" s="13" t="inlineStr">
        <is>
          <t>7~15만원 (고급형/커스텀/무선)</t>
        </is>
      </c>
    </row>
    <row r="25" ht="20" customHeight="1">
      <c r="A25" s="8" t="n">
        <v>24</v>
      </c>
      <c r="B25" s="8" t="inlineStr">
        <is>
          <t>로지텍 (Logitech)</t>
        </is>
      </c>
      <c r="C25" s="13" t="inlineStr">
        <is>
          <t>로지텍 K120 New (정품)</t>
        </is>
      </c>
      <c r="D25" s="11" t="n">
        <v>11990</v>
      </c>
      <c r="E25" s="8" t="inlineStr">
        <is>
          <t>-</t>
        </is>
      </c>
      <c r="F25" s="8" t="inlineStr">
        <is>
          <t>유선</t>
        </is>
      </c>
      <c r="G25" s="11" t="n">
        <v>0</v>
      </c>
      <c r="H25" s="13" t="inlineStr">
        <is>
          <t>3만원 미만 (초가성비/보급형)</t>
        </is>
      </c>
    </row>
    <row r="26" ht="20" customHeight="1">
      <c r="A26" s="8" t="n">
        <v>25</v>
      </c>
      <c r="B26" s="8" t="inlineStr">
        <is>
          <t>앱코 (ABKO)</t>
        </is>
      </c>
      <c r="C26" s="13" t="inlineStr">
        <is>
          <t>앱코 K561 교체축 유무선 블루투스 기계식 블랙 (적축)</t>
        </is>
      </c>
      <c r="D26" s="11" t="n">
        <v>29900</v>
      </c>
      <c r="E26" s="8" t="inlineStr">
        <is>
          <t>적축</t>
        </is>
      </c>
      <c r="F26" s="8" t="inlineStr">
        <is>
          <t>유선+무선</t>
        </is>
      </c>
      <c r="G26" s="11" t="n">
        <v>19</v>
      </c>
      <c r="H26" s="13" t="inlineStr">
        <is>
          <t>3만원 미만 (초가성비/보급형)</t>
        </is>
      </c>
    </row>
    <row r="27" ht="20" customHeight="1">
      <c r="A27" s="8" t="n">
        <v>26</v>
      </c>
      <c r="B27" s="8" t="inlineStr">
        <is>
          <t>Nillkin</t>
        </is>
      </c>
      <c r="C27" s="13" t="inlineStr">
        <is>
          <t>Nillkin Cube Pocket (그레이)</t>
        </is>
      </c>
      <c r="D27" s="11" t="n">
        <v>67280</v>
      </c>
      <c r="E27" s="8" t="inlineStr">
        <is>
          <t>-</t>
        </is>
      </c>
      <c r="F27" s="8" t="inlineStr">
        <is>
          <t>무선</t>
        </is>
      </c>
      <c r="G27" s="11" t="n">
        <v>0</v>
      </c>
      <c r="H27" s="13" t="inlineStr">
        <is>
          <t>3~7만원 (가성비 기계식/메인스트림)</t>
        </is>
      </c>
    </row>
    <row r="28" ht="20" customHeight="1">
      <c r="A28" s="8" t="n">
        <v>27</v>
      </c>
      <c r="B28" s="8" t="inlineStr">
        <is>
          <t>한성컴퓨터</t>
        </is>
      </c>
      <c r="C28" s="13" t="inlineStr">
        <is>
          <t>한성컴퓨터 GK698 OfficeMaster 유무선 (RETRO POINT)</t>
        </is>
      </c>
      <c r="D28" s="11" t="n">
        <v>39880</v>
      </c>
      <c r="E28" s="8" t="inlineStr">
        <is>
          <t>-</t>
        </is>
      </c>
      <c r="F28" s="8" t="inlineStr">
        <is>
          <t>유선+무선</t>
        </is>
      </c>
      <c r="G28" s="11" t="n">
        <v>59</v>
      </c>
      <c r="H28" s="13" t="inlineStr">
        <is>
          <t>3~7만원 (가성비 기계식/메인스트림)</t>
        </is>
      </c>
    </row>
    <row r="29" ht="20" customHeight="1">
      <c r="A29" s="8" t="n">
        <v>28</v>
      </c>
      <c r="B29" s="8" t="inlineStr">
        <is>
          <t>로지텍 (Logitech)</t>
        </is>
      </c>
      <c r="C29" s="13" t="inlineStr">
        <is>
          <t>로지텍 Wave Keys + LIFT VERTICAL Combo 무선 키보드 마우스 세트 (그래파이트)</t>
        </is>
      </c>
      <c r="D29" s="11" t="n">
        <v>134100</v>
      </c>
      <c r="E29" s="8" t="inlineStr">
        <is>
          <t>-</t>
        </is>
      </c>
      <c r="F29" s="8" t="inlineStr">
        <is>
          <t>무선</t>
        </is>
      </c>
      <c r="G29" s="11" t="n">
        <v>25</v>
      </c>
      <c r="H29" s="13" t="inlineStr">
        <is>
          <t>7~15만원 (고급형/커스텀/무선)</t>
        </is>
      </c>
    </row>
    <row r="30" ht="20" customHeight="1">
      <c r="A30" s="8" t="n">
        <v>29</v>
      </c>
      <c r="B30" s="8" t="inlineStr">
        <is>
          <t>커세어 (CORSAIR)</t>
        </is>
      </c>
      <c r="C30" s="13" t="inlineStr">
        <is>
          <t>CORSAIR 클리퍼 PRO 미니 60 (화이트)</t>
        </is>
      </c>
      <c r="D30" s="11" t="n">
        <v>169000</v>
      </c>
      <c r="E30" s="8" t="inlineStr">
        <is>
          <t>-</t>
        </is>
      </c>
      <c r="F30" s="8" t="inlineStr">
        <is>
          <t>유선</t>
        </is>
      </c>
      <c r="G30" s="11" t="n">
        <v>0</v>
      </c>
      <c r="H30" s="13" t="inlineStr">
        <is>
          <t>15만원 이상 (하이엔드/플래그십)</t>
        </is>
      </c>
    </row>
    <row r="31" ht="20" customHeight="1">
      <c r="A31" s="8" t="n">
        <v>30</v>
      </c>
      <c r="B31" s="8" t="inlineStr">
        <is>
          <t>프리플로우</t>
        </is>
      </c>
      <c r="C31" s="13" t="inlineStr">
        <is>
          <t>프리플로우 archon M1 PRO 2 MAX (메카닉)</t>
        </is>
      </c>
      <c r="D31" s="11" t="n">
        <v>99000</v>
      </c>
      <c r="E31" s="8" t="inlineStr">
        <is>
          <t>-</t>
        </is>
      </c>
      <c r="F31" s="8" t="inlineStr">
        <is>
          <t>유선</t>
        </is>
      </c>
      <c r="G31" s="11" t="n">
        <v>1</v>
      </c>
      <c r="H31" s="13" t="inlineStr">
        <is>
          <t>7~15만원 (고급형/커스텀/무선)</t>
        </is>
      </c>
    </row>
    <row r="32" ht="20" customHeight="1">
      <c r="A32" s="8" t="n">
        <v>31</v>
      </c>
      <c r="B32" s="8" t="inlineStr">
        <is>
          <t>프리플로우</t>
        </is>
      </c>
      <c r="C32" s="13" t="inlineStr">
        <is>
          <t>프리플로우 archon M1 PRO 2 TKL (메카닉)</t>
        </is>
      </c>
      <c r="D32" s="11" t="n">
        <v>89000</v>
      </c>
      <c r="E32" s="8" t="inlineStr">
        <is>
          <t>-</t>
        </is>
      </c>
      <c r="F32" s="8" t="inlineStr">
        <is>
          <t>유선</t>
        </is>
      </c>
      <c r="G32" s="11" t="n">
        <v>1</v>
      </c>
      <c r="H32" s="13" t="inlineStr">
        <is>
          <t>7~15만원 (고급형/커스텀/무선)</t>
        </is>
      </c>
    </row>
    <row r="33" ht="20" customHeight="1">
      <c r="A33" s="8" t="n">
        <v>32</v>
      </c>
      <c r="B33" s="8" t="inlineStr">
        <is>
          <t>로지텍 (Logitech)</t>
        </is>
      </c>
      <c r="C33" s="13" t="inlineStr">
        <is>
          <t>로지텍 MX Mechanical (정품) (갈축)</t>
        </is>
      </c>
      <c r="D33" s="11" t="n">
        <v>178980</v>
      </c>
      <c r="E33" s="8" t="inlineStr">
        <is>
          <t>갈축</t>
        </is>
      </c>
      <c r="F33" s="8" t="inlineStr">
        <is>
          <t>무선</t>
        </is>
      </c>
      <c r="G33" s="11" t="n">
        <v>48</v>
      </c>
      <c r="H33" s="13" t="inlineStr">
        <is>
          <t>15만원 이상 (하이엔드/플래그십)</t>
        </is>
      </c>
    </row>
    <row r="34" ht="20" customHeight="1">
      <c r="A34" s="8" t="n">
        <v>33</v>
      </c>
      <c r="B34" s="8" t="inlineStr">
        <is>
          <t>AULA (독거미)</t>
        </is>
      </c>
      <c r="C34" s="13" t="inlineStr">
        <is>
          <t>AULA F108 PRO 유무선 기계식 오로라 블랙 한글 (저소음 솜사탕축)</t>
        </is>
      </c>
      <c r="D34" s="11" t="n">
        <v>89000</v>
      </c>
      <c r="E34" s="8" t="inlineStr">
        <is>
          <t>저소음 솜사탕축</t>
        </is>
      </c>
      <c r="F34" s="8" t="inlineStr">
        <is>
          <t>유선+무선</t>
        </is>
      </c>
      <c r="G34" s="11" t="n">
        <v>43</v>
      </c>
      <c r="H34" s="13" t="inlineStr">
        <is>
          <t>7~15만원 (고급형/커스텀/무선)</t>
        </is>
      </c>
    </row>
    <row r="35" ht="20" customHeight="1">
      <c r="A35" s="8" t="n">
        <v>34</v>
      </c>
      <c r="B35" s="8" t="inlineStr">
        <is>
          <t>앱코 (ABKO)</t>
        </is>
      </c>
      <c r="C35" s="13" t="inlineStr">
        <is>
          <t>앱코 K562 교체축 3모드 계산기 유무선 기계식</t>
        </is>
      </c>
      <c r="D35" s="11" t="n">
        <v>23900</v>
      </c>
      <c r="E35" s="8" t="inlineStr">
        <is>
          <t>-</t>
        </is>
      </c>
      <c r="F35" s="8" t="inlineStr">
        <is>
          <t>유선+무선</t>
        </is>
      </c>
      <c r="G35" s="11" t="n">
        <v>2</v>
      </c>
      <c r="H35" s="13" t="inlineStr">
        <is>
          <t>3만원 미만 (초가성비/보급형)</t>
        </is>
      </c>
    </row>
    <row r="36" ht="20" customHeight="1">
      <c r="A36" s="8" t="n">
        <v>35</v>
      </c>
      <c r="B36" s="8" t="inlineStr">
        <is>
          <t>주연테크</t>
        </is>
      </c>
      <c r="C36" s="13" t="inlineStr">
        <is>
          <t>주연테크 긱스타 GK108FE (봄 꽃비)</t>
        </is>
      </c>
      <c r="D36" s="11" t="n">
        <v>18800</v>
      </c>
      <c r="E36" s="8" t="inlineStr">
        <is>
          <t>-</t>
        </is>
      </c>
      <c r="F36" s="8" t="inlineStr">
        <is>
          <t>유선</t>
        </is>
      </c>
      <c r="G36" s="11" t="n">
        <v>0</v>
      </c>
      <c r="H36" s="13" t="inlineStr">
        <is>
          <t>3만원 미만 (초가성비/보급형)</t>
        </is>
      </c>
    </row>
    <row r="37" ht="20" customHeight="1">
      <c r="A37" s="8" t="n">
        <v>36</v>
      </c>
      <c r="B37" s="8" t="inlineStr">
        <is>
          <t>한성컴퓨터</t>
        </is>
      </c>
      <c r="C37" s="13" t="inlineStr">
        <is>
          <t>한성컴퓨터 TFG Magnetox 2XF 저소음 (쿠키앤크림)</t>
        </is>
      </c>
      <c r="D37" s="11" t="n">
        <v>104000</v>
      </c>
      <c r="E37" s="8" t="inlineStr">
        <is>
          <t>-</t>
        </is>
      </c>
      <c r="F37" s="8" t="inlineStr">
        <is>
          <t>유선</t>
        </is>
      </c>
      <c r="G37" s="11" t="n">
        <v>1</v>
      </c>
      <c r="H37" s="13" t="inlineStr">
        <is>
          <t>7~15만원 (고급형/커스텀/무선)</t>
        </is>
      </c>
    </row>
    <row r="38" ht="20" customHeight="1">
      <c r="A38" s="8" t="n">
        <v>37</v>
      </c>
      <c r="B38" s="8" t="inlineStr">
        <is>
          <t>SPM</t>
        </is>
      </c>
      <c r="C38" s="13" t="inlineStr">
        <is>
          <t>SPM PL87W 몽돌 유무선 기계식 (블랙)</t>
        </is>
      </c>
      <c r="D38" s="11" t="n">
        <v>56900</v>
      </c>
      <c r="E38" s="8" t="inlineStr">
        <is>
          <t>-</t>
        </is>
      </c>
      <c r="F38" s="8" t="inlineStr">
        <is>
          <t>유선+무선</t>
        </is>
      </c>
      <c r="G38" s="11" t="n">
        <v>110</v>
      </c>
      <c r="H38" s="13" t="inlineStr">
        <is>
          <t>3~7만원 (가성비 기계식/메인스트림)</t>
        </is>
      </c>
    </row>
    <row r="39" ht="20" customHeight="1">
      <c r="A39" s="8" t="n">
        <v>38</v>
      </c>
      <c r="B39" s="8" t="inlineStr">
        <is>
          <t>레이저 (Razer)</t>
        </is>
      </c>
      <c r="C39" s="13" t="inlineStr">
        <is>
          <t>Razer Huntsman V3 Pro TKL 8K KR (정품)</t>
        </is>
      </c>
      <c r="D39" s="11" t="n">
        <v>329000</v>
      </c>
      <c r="E39" s="8" t="inlineStr">
        <is>
          <t>-</t>
        </is>
      </c>
      <c r="F39" s="8" t="inlineStr">
        <is>
          <t>유선</t>
        </is>
      </c>
      <c r="G39" s="11" t="n">
        <v>5</v>
      </c>
      <c r="H39" s="13" t="inlineStr">
        <is>
          <t>15만원 이상 (하이엔드/플래그십)</t>
        </is>
      </c>
    </row>
    <row r="40" ht="20" customHeight="1">
      <c r="A40" s="8" t="n">
        <v>39</v>
      </c>
      <c r="B40" s="8" t="inlineStr">
        <is>
          <t>AULA (독거미)</t>
        </is>
      </c>
      <c r="C40" s="13" t="inlineStr">
        <is>
          <t>AULA F108 유무선 기계식 블러쉬 핑크 한글 (저소음 바다축)</t>
        </is>
      </c>
      <c r="D40" s="11" t="n">
        <v>89000</v>
      </c>
      <c r="E40" s="8" t="inlineStr">
        <is>
          <t>저소음 바다축</t>
        </is>
      </c>
      <c r="F40" s="8" t="inlineStr">
        <is>
          <t>유선+무선</t>
        </is>
      </c>
      <c r="G40" s="11" t="n">
        <v>0</v>
      </c>
      <c r="H40" s="13" t="inlineStr">
        <is>
          <t>7~15만원 (고급형/커스텀/무선)</t>
        </is>
      </c>
    </row>
    <row r="41" ht="20" customHeight="1">
      <c r="A41" s="8" t="n">
        <v>40</v>
      </c>
      <c r="B41" s="8" t="inlineStr">
        <is>
          <t>COX</t>
        </is>
      </c>
      <c r="C41" s="13" t="inlineStr">
        <is>
          <t>COX COS10 유선 키보드 마우스 세트</t>
        </is>
      </c>
      <c r="D41" s="11" t="n">
        <v>8900</v>
      </c>
      <c r="E41" s="8" t="inlineStr">
        <is>
          <t>-</t>
        </is>
      </c>
      <c r="F41" s="8" t="inlineStr">
        <is>
          <t>유선</t>
        </is>
      </c>
      <c r="G41" s="11" t="n">
        <v>4</v>
      </c>
      <c r="H41" s="13" t="inlineStr">
        <is>
          <t>3만원 미만 (초가성비/보급형)</t>
        </is>
      </c>
    </row>
    <row r="42" ht="20" customHeight="1">
      <c r="A42" s="8" t="n">
        <v>41</v>
      </c>
      <c r="B42" s="8" t="inlineStr">
        <is>
          <t>커세어 (CORSAIR)</t>
        </is>
      </c>
      <c r="C42" s="13" t="inlineStr">
        <is>
          <t>CORSAIR K70 MAX RGB MGX 게이밍 기계식 (마그네틱축)</t>
        </is>
      </c>
      <c r="D42" s="11" t="n">
        <v>287030</v>
      </c>
      <c r="E42" s="8" t="inlineStr">
        <is>
          <t>마그네틱축</t>
        </is>
      </c>
      <c r="F42" s="8" t="inlineStr">
        <is>
          <t>유선</t>
        </is>
      </c>
      <c r="G42" s="11" t="n">
        <v>72</v>
      </c>
      <c r="H42" s="13" t="inlineStr">
        <is>
          <t>15만원 이상 (하이엔드/플래그십)</t>
        </is>
      </c>
    </row>
    <row r="43" ht="20" customHeight="1">
      <c r="A43" s="8" t="n">
        <v>42</v>
      </c>
      <c r="B43" s="8" t="inlineStr">
        <is>
          <t>AULA (독거미)</t>
        </is>
      </c>
      <c r="C43" s="13" t="inlineStr">
        <is>
          <t>AULA F87 Pro 유무선 기계식 올리비아 화이트 한글 (저소음 피치축 V2)</t>
        </is>
      </c>
      <c r="D43" s="11" t="n">
        <v>67000</v>
      </c>
      <c r="E43" s="8" t="inlineStr">
        <is>
          <t>저소음 피치축 V2</t>
        </is>
      </c>
      <c r="F43" s="8" t="inlineStr">
        <is>
          <t>유선+무선</t>
        </is>
      </c>
      <c r="G43" s="11" t="n">
        <v>35</v>
      </c>
      <c r="H43" s="13" t="inlineStr">
        <is>
          <t>3~7만원 (가성비 기계식/메인스트림)</t>
        </is>
      </c>
    </row>
    <row r="44" ht="20" customHeight="1">
      <c r="A44" s="8" t="n">
        <v>43</v>
      </c>
      <c r="B44" s="8" t="inlineStr">
        <is>
          <t>AULA (독거미)</t>
        </is>
      </c>
      <c r="C44" s="13" t="inlineStr">
        <is>
          <t>AULA F87 Pro V2 유무선 기계식 샌드 베이지 (저소음 바다축)</t>
        </is>
      </c>
      <c r="D44" s="11" t="n">
        <v>85000</v>
      </c>
      <c r="E44" s="8" t="inlineStr">
        <is>
          <t>저소음 바다축</t>
        </is>
      </c>
      <c r="F44" s="8" t="inlineStr">
        <is>
          <t>유선+무선</t>
        </is>
      </c>
      <c r="G44" s="11" t="n">
        <v>0</v>
      </c>
      <c r="H44" s="13" t="inlineStr">
        <is>
          <t>7~15만원 (고급형/커스텀/무선)</t>
        </is>
      </c>
    </row>
    <row r="45" ht="20" customHeight="1">
      <c r="A45" s="8" t="n">
        <v>44</v>
      </c>
      <c r="B45" s="8" t="inlineStr">
        <is>
          <t>체리 (CHERRY)</t>
        </is>
      </c>
      <c r="C45" s="13" t="inlineStr">
        <is>
          <t>CHERRY XTRFY K37 유무선 (화이트)</t>
        </is>
      </c>
      <c r="D45" s="11" t="n">
        <v>58000</v>
      </c>
      <c r="E45" s="8" t="inlineStr">
        <is>
          <t>-</t>
        </is>
      </c>
      <c r="F45" s="8" t="inlineStr">
        <is>
          <t>유선+무선</t>
        </is>
      </c>
      <c r="G45" s="11" t="n">
        <v>0</v>
      </c>
      <c r="H45" s="13" t="inlineStr">
        <is>
          <t>3~7만원 (가성비 기계식/메인스트림)</t>
        </is>
      </c>
    </row>
    <row r="46" ht="20" customHeight="1">
      <c r="A46" s="8" t="n">
        <v>45</v>
      </c>
      <c r="B46" s="8" t="inlineStr">
        <is>
          <t>앱코 (ABKO)</t>
        </is>
      </c>
      <c r="C46" s="13" t="inlineStr">
        <is>
          <t>앱코 AK998 8K OTEMU 특주축 기계식 스카이 블루 (멜론축)</t>
        </is>
      </c>
      <c r="D46" s="11" t="n">
        <v>58000</v>
      </c>
      <c r="E46" s="8" t="inlineStr">
        <is>
          <t>멜론축</t>
        </is>
      </c>
      <c r="F46" s="8" t="inlineStr">
        <is>
          <t>유선</t>
        </is>
      </c>
      <c r="G46" s="11" t="n">
        <v>3</v>
      </c>
      <c r="H46" s="13" t="inlineStr">
        <is>
          <t>3~7만원 (가성비 기계식/메인스트림)</t>
        </is>
      </c>
    </row>
    <row r="47" ht="20" customHeight="1">
      <c r="A47" s="8" t="n">
        <v>46</v>
      </c>
      <c r="B47" s="8" t="inlineStr">
        <is>
          <t>앱코 (ABKO)</t>
        </is>
      </c>
      <c r="C47" s="13" t="inlineStr">
        <is>
          <t>앱코 AK94BT 유무선 기계식 스카이블루 (저소음 피치축)</t>
        </is>
      </c>
      <c r="D47" s="11" t="n">
        <v>79380</v>
      </c>
      <c r="E47" s="8" t="inlineStr">
        <is>
          <t>저소음 피치축</t>
        </is>
      </c>
      <c r="F47" s="8" t="inlineStr">
        <is>
          <t>유선+무선</t>
        </is>
      </c>
      <c r="G47" s="11" t="n">
        <v>0</v>
      </c>
      <c r="H47" s="13" t="inlineStr">
        <is>
          <t>7~15만원 (고급형/커스텀/무선)</t>
        </is>
      </c>
    </row>
    <row r="48" ht="20" customHeight="1">
      <c r="A48" s="8" t="n">
        <v>47</v>
      </c>
      <c r="B48" s="8" t="inlineStr">
        <is>
          <t>앱코 (ABKO)</t>
        </is>
      </c>
      <c r="C48" s="13" t="inlineStr">
        <is>
          <t>앱코 AK87 슬림 프로 3모드 로우 프로파일 유무선 기계식 (햇살축)</t>
        </is>
      </c>
      <c r="D48" s="11" t="n">
        <v>75000</v>
      </c>
      <c r="E48" s="8" t="inlineStr">
        <is>
          <t>햇살축</t>
        </is>
      </c>
      <c r="F48" s="8" t="inlineStr">
        <is>
          <t>유선+무선</t>
        </is>
      </c>
      <c r="G48" s="11" t="n">
        <v>1</v>
      </c>
      <c r="H48" s="13" t="inlineStr">
        <is>
          <t>7~15만원 (고급형/커스텀/무선)</t>
        </is>
      </c>
    </row>
    <row r="49" ht="20" customHeight="1">
      <c r="A49" s="8" t="n">
        <v>48</v>
      </c>
      <c r="B49" s="8" t="inlineStr">
        <is>
          <t>로지텍 (Logitech)</t>
        </is>
      </c>
      <c r="C49" s="13" t="inlineStr">
        <is>
          <t>로지텍 mx keys mini (정품) (그라파이트)</t>
        </is>
      </c>
      <c r="D49" s="11" t="n">
        <v>99000</v>
      </c>
      <c r="E49" s="8" t="inlineStr">
        <is>
          <t>-</t>
        </is>
      </c>
      <c r="F49" s="8" t="inlineStr">
        <is>
          <t>무선</t>
        </is>
      </c>
      <c r="G49" s="11" t="n">
        <v>259</v>
      </c>
      <c r="H49" s="13" t="inlineStr">
        <is>
          <t>7~15만원 (고급형/커스텀/무선)</t>
        </is>
      </c>
    </row>
    <row r="50" ht="20" customHeight="1">
      <c r="A50" s="8" t="n">
        <v>49</v>
      </c>
      <c r="B50" s="8" t="inlineStr">
        <is>
          <t>AULA (독거미)</t>
        </is>
      </c>
      <c r="C50" s="13" t="inlineStr">
        <is>
          <t>AULA F108 유무선 기계식 올리비아 화이트 한글 (저소음 바다축)</t>
        </is>
      </c>
      <c r="D50" s="11" t="n">
        <v>82000</v>
      </c>
      <c r="E50" s="8" t="inlineStr">
        <is>
          <t>저소음 바다축</t>
        </is>
      </c>
      <c r="F50" s="8" t="inlineStr">
        <is>
          <t>유선+무선</t>
        </is>
      </c>
      <c r="G50" s="11" t="n">
        <v>53</v>
      </c>
      <c r="H50" s="13" t="inlineStr">
        <is>
          <t>7~15만원 (고급형/커스텀/무선)</t>
        </is>
      </c>
    </row>
    <row r="51" ht="20" customHeight="1">
      <c r="A51" s="8" t="n">
        <v>50</v>
      </c>
      <c r="B51" s="8" t="inlineStr">
        <is>
          <t>로지텍 (Logitech)</t>
        </is>
      </c>
      <c r="C51" s="13" t="inlineStr">
        <is>
          <t>로지텍 MK200 NEW (정품)</t>
        </is>
      </c>
      <c r="D51" s="11" t="n">
        <v>22530</v>
      </c>
      <c r="E51" s="8" t="inlineStr">
        <is>
          <t>-</t>
        </is>
      </c>
      <c r="F51" s="8" t="inlineStr">
        <is>
          <t>유선</t>
        </is>
      </c>
      <c r="G51" s="11" t="n">
        <v>94</v>
      </c>
      <c r="H51" s="13" t="inlineStr">
        <is>
          <t>3만원 미만 (초가성비/보급형)</t>
        </is>
      </c>
    </row>
    <row r="52" ht="20" customHeight="1">
      <c r="A52" s="8" t="n">
        <v>51</v>
      </c>
      <c r="B52" s="8" t="inlineStr">
        <is>
          <t>체리 (CHERRY)</t>
        </is>
      </c>
      <c r="C52" s="13" t="inlineStr">
        <is>
          <t>CHERRY XTRFY MX 8.2 PRO TMR 8K 유무선</t>
        </is>
      </c>
      <c r="D52" s="11" t="n">
        <v>207200</v>
      </c>
      <c r="E52" s="8" t="inlineStr">
        <is>
          <t>-</t>
        </is>
      </c>
      <c r="F52" s="8" t="inlineStr">
        <is>
          <t>유선+무선</t>
        </is>
      </c>
      <c r="G52" s="11" t="n">
        <v>1</v>
      </c>
      <c r="H52" s="13" t="inlineStr">
        <is>
          <t>15만원 이상 (하이엔드/플래그십)</t>
        </is>
      </c>
    </row>
    <row r="53" ht="20" customHeight="1">
      <c r="A53" s="8" t="n">
        <v>52</v>
      </c>
      <c r="B53" s="8" t="inlineStr">
        <is>
          <t>AULA (독거미)</t>
        </is>
      </c>
      <c r="C53" s="13" t="inlineStr">
        <is>
          <t>AULA F87 Pro 기계식 라이트 올리비아 한글 (저소음 바다축)</t>
        </is>
      </c>
      <c r="D53" s="11" t="n">
        <v>42800</v>
      </c>
      <c r="E53" s="8" t="inlineStr">
        <is>
          <t>저소음 바다축</t>
        </is>
      </c>
      <c r="F53" s="8" t="inlineStr">
        <is>
          <t>유선</t>
        </is>
      </c>
      <c r="G53" s="11" t="n">
        <v>11</v>
      </c>
      <c r="H53" s="13" t="inlineStr">
        <is>
          <t>3~7만원 (가성비 기계식/메인스트림)</t>
        </is>
      </c>
    </row>
    <row r="54" ht="20" customHeight="1">
      <c r="A54" s="8" t="n">
        <v>53</v>
      </c>
      <c r="B54" s="8" t="inlineStr">
        <is>
          <t>지클릭커</t>
        </is>
      </c>
      <c r="C54" s="13" t="inlineStr">
        <is>
          <t>지클릭커 오피스프로 WK35 (그린)</t>
        </is>
      </c>
      <c r="D54" s="11" t="n">
        <v>29800</v>
      </c>
      <c r="E54" s="8" t="inlineStr">
        <is>
          <t>-</t>
        </is>
      </c>
      <c r="F54" s="8" t="inlineStr">
        <is>
          <t>무선</t>
        </is>
      </c>
      <c r="G54" s="11" t="n">
        <v>0</v>
      </c>
      <c r="H54" s="13" t="inlineStr">
        <is>
          <t>3만원 미만 (초가성비/보급형)</t>
        </is>
      </c>
    </row>
    <row r="55" ht="20" customHeight="1">
      <c r="A55" s="8" t="n">
        <v>54</v>
      </c>
      <c r="B55" s="8" t="inlineStr">
        <is>
          <t>COX</t>
        </is>
      </c>
      <c r="C55" s="13" t="inlineStr">
        <is>
          <t>COX CKM510 게이밍 키보드 마우스 세트</t>
        </is>
      </c>
      <c r="D55" s="11" t="n">
        <v>18900</v>
      </c>
      <c r="E55" s="8" t="inlineStr">
        <is>
          <t>-</t>
        </is>
      </c>
      <c r="F55" s="8" t="inlineStr">
        <is>
          <t>유선</t>
        </is>
      </c>
      <c r="G55" s="11" t="n">
        <v>2</v>
      </c>
      <c r="H55" s="13" t="inlineStr">
        <is>
          <t>3만원 미만 (초가성비/보급형)</t>
        </is>
      </c>
    </row>
    <row r="56" ht="20" customHeight="1">
      <c r="A56" s="8" t="n">
        <v>55</v>
      </c>
      <c r="B56" s="8" t="inlineStr">
        <is>
          <t>커세어 (CORSAIR)</t>
        </is>
      </c>
      <c r="C56" s="13" t="inlineStr">
        <is>
          <t>CORSAIR K70 RGB PRO (갈축)</t>
        </is>
      </c>
      <c r="D56" s="11" t="n">
        <v>212950</v>
      </c>
      <c r="E56" s="8" t="inlineStr">
        <is>
          <t>갈축</t>
        </is>
      </c>
      <c r="F56" s="8" t="inlineStr">
        <is>
          <t>유선</t>
        </is>
      </c>
      <c r="G56" s="11" t="n">
        <v>120</v>
      </c>
      <c r="H56" s="13" t="inlineStr">
        <is>
          <t>15만원 이상 (하이엔드/플래그십)</t>
        </is>
      </c>
    </row>
    <row r="57" ht="20" customHeight="1">
      <c r="A57" s="8" t="n">
        <v>56</v>
      </c>
      <c r="B57" s="8" t="inlineStr">
        <is>
          <t>마이크로닉스</t>
        </is>
      </c>
      <c r="C57" s="13" t="inlineStr">
        <is>
          <t>마이크로닉스 MANIC PAMPAM 팜레스트 키보드 손목받침대</t>
        </is>
      </c>
      <c r="D57" s="11" t="n">
        <v>8630</v>
      </c>
      <c r="E57" s="8" t="inlineStr">
        <is>
          <t>-</t>
        </is>
      </c>
      <c r="F57" s="8" t="inlineStr">
        <is>
          <t>미표기</t>
        </is>
      </c>
      <c r="G57" s="11" t="n">
        <v>59</v>
      </c>
      <c r="H57" s="13" t="inlineStr">
        <is>
          <t>3만원 미만 (초가성비/보급형)</t>
        </is>
      </c>
    </row>
    <row r="58" ht="20" customHeight="1">
      <c r="A58" s="8" t="n">
        <v>57</v>
      </c>
      <c r="B58" s="8" t="inlineStr">
        <is>
          <t>COX</t>
        </is>
      </c>
      <c r="C58" s="13" t="inlineStr">
        <is>
          <t>COX CK420 교체축 레인보우 LED 게이밍 기계식 화이트 (갈축)</t>
        </is>
      </c>
      <c r="D58" s="11" t="n">
        <v>29900</v>
      </c>
      <c r="E58" s="8" t="inlineStr">
        <is>
          <t>갈축</t>
        </is>
      </c>
      <c r="F58" s="8" t="inlineStr">
        <is>
          <t>유선</t>
        </is>
      </c>
      <c r="G58" s="11" t="n">
        <v>16</v>
      </c>
      <c r="H58" s="13" t="inlineStr">
        <is>
          <t>3만원 미만 (초가성비/보급형)</t>
        </is>
      </c>
    </row>
    <row r="59" ht="20" customHeight="1">
      <c r="A59" s="8" t="n">
        <v>58</v>
      </c>
      <c r="B59" s="8" t="inlineStr">
        <is>
          <t>COX</t>
        </is>
      </c>
      <c r="C59" s="13" t="inlineStr">
        <is>
          <t>COX CK01 TKL (적축)</t>
        </is>
      </c>
      <c r="D59" s="11" t="n">
        <v>31900</v>
      </c>
      <c r="E59" s="8" t="inlineStr">
        <is>
          <t>적축</t>
        </is>
      </c>
      <c r="F59" s="8" t="inlineStr">
        <is>
          <t>유선</t>
        </is>
      </c>
      <c r="G59" s="11" t="n">
        <v>12</v>
      </c>
      <c r="H59" s="13" t="inlineStr">
        <is>
          <t>3~7만원 (가성비 기계식/메인스트림)</t>
        </is>
      </c>
    </row>
    <row r="60" ht="20" customHeight="1">
      <c r="A60" s="8" t="n">
        <v>59</v>
      </c>
      <c r="B60" s="8" t="inlineStr">
        <is>
          <t>COX</t>
        </is>
      </c>
      <c r="C60" s="13" t="inlineStr">
        <is>
          <t>COX CK01 PBT 이색사출 사이드 RGB 기계식 키보드 (적축)</t>
        </is>
      </c>
      <c r="D60" s="11" t="n">
        <v>31500</v>
      </c>
      <c r="E60" s="8" t="inlineStr">
        <is>
          <t>적축</t>
        </is>
      </c>
      <c r="F60" s="8" t="inlineStr">
        <is>
          <t>유선</t>
        </is>
      </c>
      <c r="G60" s="11" t="n">
        <v>7</v>
      </c>
      <c r="H60" s="13" t="inlineStr">
        <is>
          <t>3~7만원 (가성비 기계식/메인스트림)</t>
        </is>
      </c>
    </row>
    <row r="61" ht="20" customHeight="1">
      <c r="A61" s="8" t="n">
        <v>60</v>
      </c>
      <c r="B61" s="8" t="inlineStr">
        <is>
          <t>COX</t>
        </is>
      </c>
      <c r="C61" s="13" t="inlineStr">
        <is>
          <t>COX CY104K V2 카일 광축 V2 게이밍 블랙 (적축)</t>
        </is>
      </c>
      <c r="D61" s="11" t="n">
        <v>65000</v>
      </c>
      <c r="E61" s="8" t="inlineStr">
        <is>
          <t>적축</t>
        </is>
      </c>
      <c r="F61" s="8" t="inlineStr">
        <is>
          <t>유선</t>
        </is>
      </c>
      <c r="G61" s="11" t="n">
        <v>1</v>
      </c>
      <c r="H61" s="13" t="inlineStr">
        <is>
          <t>3~7만원 (가성비 기계식/메인스트림)</t>
        </is>
      </c>
    </row>
    <row r="62" ht="20" customHeight="1">
      <c r="A62" s="8" t="n">
        <v>61</v>
      </c>
      <c r="B62" s="8" t="inlineStr">
        <is>
          <t>글로리어스</t>
        </is>
      </c>
      <c r="C62" s="13" t="inlineStr">
        <is>
          <t>글로리어스 GMBK 75%</t>
        </is>
      </c>
      <c r="D62" s="11" t="n">
        <v>59000</v>
      </c>
      <c r="E62" s="8" t="inlineStr">
        <is>
          <t>-</t>
        </is>
      </c>
      <c r="F62" s="8" t="inlineStr">
        <is>
          <t>유선</t>
        </is>
      </c>
      <c r="G62" s="11" t="n">
        <v>0</v>
      </c>
      <c r="H62" s="13" t="inlineStr">
        <is>
          <t>3~7만원 (가성비 기계식/메인스트림)</t>
        </is>
      </c>
    </row>
    <row r="63" ht="20" customHeight="1">
      <c r="A63" s="8" t="n">
        <v>62</v>
      </c>
      <c r="B63" s="8" t="inlineStr">
        <is>
          <t>COX</t>
        </is>
      </c>
      <c r="C63" s="13" t="inlineStr">
        <is>
          <t>COX CK87 크림블루 게이트론 LED 게이밍 기계식 (갈축)</t>
        </is>
      </c>
      <c r="D63" s="11" t="n">
        <v>42000</v>
      </c>
      <c r="E63" s="8" t="inlineStr">
        <is>
          <t>갈축</t>
        </is>
      </c>
      <c r="F63" s="8" t="inlineStr">
        <is>
          <t>유선</t>
        </is>
      </c>
      <c r="G63" s="11" t="n">
        <v>16</v>
      </c>
      <c r="H63" s="13" t="inlineStr">
        <is>
          <t>3~7만원 (가성비 기계식/메인스트림)</t>
        </is>
      </c>
    </row>
    <row r="64" ht="20" customHeight="1">
      <c r="A64" s="8" t="n">
        <v>63</v>
      </c>
      <c r="B64" s="8" t="inlineStr">
        <is>
          <t>앱코 (ABKO)</t>
        </is>
      </c>
      <c r="C64" s="13" t="inlineStr">
        <is>
          <t>앱코 K561 교체축 유무선 블루투스 기계식 화이트 (적축)</t>
        </is>
      </c>
      <c r="D64" s="11" t="n">
        <v>29900</v>
      </c>
      <c r="E64" s="8" t="inlineStr">
        <is>
          <t>적축</t>
        </is>
      </c>
      <c r="F64" s="8" t="inlineStr">
        <is>
          <t>유선+무선</t>
        </is>
      </c>
      <c r="G64" s="11" t="n">
        <v>10</v>
      </c>
      <c r="H64" s="13" t="inlineStr">
        <is>
          <t>3만원 미만 (초가성비/보급형)</t>
        </is>
      </c>
    </row>
    <row r="65" ht="20" customHeight="1">
      <c r="A65" s="8" t="n">
        <v>64</v>
      </c>
      <c r="B65" s="8" t="inlineStr">
        <is>
          <t>커세어 (CORSAIR)</t>
        </is>
      </c>
      <c r="C65" s="13" t="inlineStr">
        <is>
          <t>CORSAIR K70 RGB CORE 게이밍 기계식 (블랙)</t>
        </is>
      </c>
      <c r="D65" s="11" t="n">
        <v>138990</v>
      </c>
      <c r="E65" s="8" t="inlineStr">
        <is>
          <t>-</t>
        </is>
      </c>
      <c r="F65" s="8" t="inlineStr">
        <is>
          <t>유선</t>
        </is>
      </c>
      <c r="G65" s="11" t="n">
        <v>23</v>
      </c>
      <c r="H65" s="13" t="inlineStr">
        <is>
          <t>7~15만원 (고급형/커스텀/무선)</t>
        </is>
      </c>
    </row>
    <row r="66" ht="20" customHeight="1">
      <c r="A66" s="8" t="n">
        <v>65</v>
      </c>
      <c r="B66" s="8" t="inlineStr">
        <is>
          <t>앱코 (ABKO)</t>
        </is>
      </c>
      <c r="C66" s="13" t="inlineStr">
        <is>
          <t>앱코 KN30BT 블루투스 유무선 무접점</t>
        </is>
      </c>
      <c r="D66" s="11" t="n">
        <v>109000</v>
      </c>
      <c r="E66" s="8" t="inlineStr">
        <is>
          <t>-</t>
        </is>
      </c>
      <c r="F66" s="8" t="inlineStr">
        <is>
          <t>유선+무선</t>
        </is>
      </c>
      <c r="G66" s="11" t="n">
        <v>20</v>
      </c>
      <c r="H66" s="13" t="inlineStr">
        <is>
          <t>7~15만원 (고급형/커스텀/무선)</t>
        </is>
      </c>
    </row>
    <row r="67" ht="20" customHeight="1">
      <c r="A67" s="8" t="n">
        <v>66</v>
      </c>
      <c r="B67" s="8" t="inlineStr">
        <is>
          <t>COX</t>
        </is>
      </c>
      <c r="C67" s="13" t="inlineStr">
        <is>
          <t>COX COS600 무선</t>
        </is>
      </c>
      <c r="D67" s="11" t="n">
        <v>26900</v>
      </c>
      <c r="E67" s="8" t="inlineStr">
        <is>
          <t>-</t>
        </is>
      </c>
      <c r="F67" s="8" t="inlineStr">
        <is>
          <t>무선</t>
        </is>
      </c>
      <c r="G67" s="11" t="n">
        <v>1</v>
      </c>
      <c r="H67" s="13" t="inlineStr">
        <is>
          <t>3만원 미만 (초가성비/보급형)</t>
        </is>
      </c>
    </row>
    <row r="68" ht="20" customHeight="1">
      <c r="A68" s="8" t="n">
        <v>67</v>
      </c>
      <c r="B68" s="8" t="inlineStr">
        <is>
          <t>앱코 (ABKO)</t>
        </is>
      </c>
      <c r="C68" s="13" t="inlineStr">
        <is>
          <t>앱코 MK87 저소음 텐키리스 멤브레인 (오트밀)</t>
        </is>
      </c>
      <c r="D68" s="11" t="n">
        <v>17900</v>
      </c>
      <c r="E68" s="8" t="inlineStr">
        <is>
          <t>-</t>
        </is>
      </c>
      <c r="F68" s="8" t="inlineStr">
        <is>
          <t>유선</t>
        </is>
      </c>
      <c r="G68" s="11" t="n">
        <v>13</v>
      </c>
      <c r="H68" s="13" t="inlineStr">
        <is>
          <t>3만원 미만 (초가성비/보급형)</t>
        </is>
      </c>
    </row>
    <row r="69" ht="20" customHeight="1">
      <c r="A69" s="8" t="n">
        <v>68</v>
      </c>
      <c r="B69" s="8" t="inlineStr">
        <is>
          <t>FL-ESPORTS</t>
        </is>
      </c>
      <c r="C69" s="13" t="inlineStr">
        <is>
          <t>FL-ESPORTS NX108 유무선 기계식 크림 핑크 (저소음 파도축)</t>
        </is>
      </c>
      <c r="D69" s="11" t="n">
        <v>82000</v>
      </c>
      <c r="E69" s="8" t="inlineStr">
        <is>
          <t>저소음 파도축</t>
        </is>
      </c>
      <c r="F69" s="8" t="inlineStr">
        <is>
          <t>유선+무선</t>
        </is>
      </c>
      <c r="G69" s="11" t="n">
        <v>7</v>
      </c>
      <c r="H69" s="13" t="inlineStr">
        <is>
          <t>7~15만원 (고급형/커스텀/무선)</t>
        </is>
      </c>
    </row>
    <row r="70" ht="20" customHeight="1">
      <c r="A70" s="8" t="n">
        <v>69</v>
      </c>
      <c r="B70" s="8" t="inlineStr">
        <is>
          <t>마이크로닉스</t>
        </is>
      </c>
      <c r="C70" s="13" t="inlineStr">
        <is>
          <t>마이크로닉스 MANIC X240 LED 게이밍 기계식 키보드 (청축)</t>
        </is>
      </c>
      <c r="D70" s="11" t="n">
        <v>27900</v>
      </c>
      <c r="E70" s="8" t="inlineStr">
        <is>
          <t>청축</t>
        </is>
      </c>
      <c r="F70" s="8" t="inlineStr">
        <is>
          <t>유선</t>
        </is>
      </c>
      <c r="G70" s="11" t="n">
        <v>18</v>
      </c>
      <c r="H70" s="13" t="inlineStr">
        <is>
          <t>3만원 미만 (초가성비/보급형)</t>
        </is>
      </c>
    </row>
    <row r="71" ht="20" customHeight="1">
      <c r="A71" s="8" t="n">
        <v>70</v>
      </c>
      <c r="B71" s="8" t="inlineStr">
        <is>
          <t>앱코 (ABKO)</t>
        </is>
      </c>
      <c r="C71" s="13" t="inlineStr">
        <is>
          <t>앱코 KN35BT DRT 8K 염료승화 블루투스 유무선 무접점 (베른)</t>
        </is>
      </c>
      <c r="D71" s="11" t="n">
        <v>109000</v>
      </c>
      <c r="E71" s="8" t="inlineStr">
        <is>
          <t>-</t>
        </is>
      </c>
      <c r="F71" s="8" t="inlineStr">
        <is>
          <t>유선+무선</t>
        </is>
      </c>
      <c r="G71" s="11" t="n">
        <v>7</v>
      </c>
      <c r="H71" s="13" t="inlineStr">
        <is>
          <t>7~15만원 (고급형/커스텀/무선)</t>
        </is>
      </c>
    </row>
    <row r="72" ht="20" customHeight="1">
      <c r="A72" s="8" t="n">
        <v>71</v>
      </c>
      <c r="B72" s="8" t="inlineStr">
        <is>
          <t>앱코 (ABKO)</t>
        </is>
      </c>
      <c r="C72" s="13" t="inlineStr">
        <is>
          <t>앱코 K560 축교환 레인보우 무빙 LED 기계식 화이트 (적축)</t>
        </is>
      </c>
      <c r="D72" s="11" t="n">
        <v>30900</v>
      </c>
      <c r="E72" s="8" t="inlineStr">
        <is>
          <t>적축</t>
        </is>
      </c>
      <c r="F72" s="8" t="inlineStr">
        <is>
          <t>유선</t>
        </is>
      </c>
      <c r="G72" s="11" t="n">
        <v>34</v>
      </c>
      <c r="H72" s="13" t="inlineStr">
        <is>
          <t>3~7만원 (가성비 기계식/메인스트림)</t>
        </is>
      </c>
    </row>
    <row r="73" ht="20" customHeight="1">
      <c r="A73" s="8" t="n">
        <v>72</v>
      </c>
      <c r="B73" s="8" t="inlineStr">
        <is>
          <t>COX</t>
        </is>
      </c>
      <c r="C73" s="13" t="inlineStr">
        <is>
          <t>COX CK01 TKL PBT 기계식 키보드 (적축)</t>
        </is>
      </c>
      <c r="D73" s="11" t="n">
        <v>29900</v>
      </c>
      <c r="E73" s="8" t="inlineStr">
        <is>
          <t>적축</t>
        </is>
      </c>
      <c r="F73" s="8" t="inlineStr">
        <is>
          <t>유선</t>
        </is>
      </c>
      <c r="G73" s="11" t="n">
        <v>3</v>
      </c>
      <c r="H73" s="13" t="inlineStr">
        <is>
          <t>3만원 미만 (초가성비/보급형)</t>
        </is>
      </c>
    </row>
    <row r="74" ht="20" customHeight="1">
      <c r="A74" s="8" t="n">
        <v>73</v>
      </c>
      <c r="B74" s="8" t="inlineStr">
        <is>
          <t>FL-ESPORTS</t>
        </is>
      </c>
      <c r="C74" s="13" t="inlineStr">
        <is>
          <t>FL-ESPORTS NX108HE 민트 블랙 (레몬축)</t>
        </is>
      </c>
      <c r="D74" s="11" t="n">
        <v>98000</v>
      </c>
      <c r="E74" s="8" t="inlineStr">
        <is>
          <t>레몬축</t>
        </is>
      </c>
      <c r="F74" s="8" t="inlineStr">
        <is>
          <t>유선</t>
        </is>
      </c>
      <c r="G74" s="11" t="n">
        <v>0</v>
      </c>
      <c r="H74" s="13" t="inlineStr">
        <is>
          <t>7~15만원 (고급형/커스텀/무선)</t>
        </is>
      </c>
    </row>
    <row r="75" ht="20" customHeight="1">
      <c r="A75" s="8" t="n">
        <v>74</v>
      </c>
      <c r="B75" s="8" t="inlineStr">
        <is>
          <t>앱코 (ABKO)</t>
        </is>
      </c>
      <c r="C75" s="13" t="inlineStr">
        <is>
          <t>앱코 HACKER K660 축교환 완전방수 게이밍 카일 광축 옐로우 (클릭)</t>
        </is>
      </c>
      <c r="D75" s="11" t="n">
        <v>65990</v>
      </c>
      <c r="E75" s="8" t="inlineStr">
        <is>
          <t>광축</t>
        </is>
      </c>
      <c r="F75" s="8" t="inlineStr">
        <is>
          <t>유선</t>
        </is>
      </c>
      <c r="G75" s="11" t="n">
        <v>49</v>
      </c>
      <c r="H75" s="13" t="inlineStr">
        <is>
          <t>3~7만원 (가성비 기계식/메인스트림)</t>
        </is>
      </c>
    </row>
    <row r="76" ht="20" customHeight="1">
      <c r="A76" s="8" t="n">
        <v>75</v>
      </c>
      <c r="B76" s="8" t="inlineStr">
        <is>
          <t>FL-ESPORTS</t>
        </is>
      </c>
      <c r="C76" s="13" t="inlineStr">
        <is>
          <t>FL-ESPORTS NX108HE 네온 그레이 (레몬축)</t>
        </is>
      </c>
      <c r="D76" s="11" t="n">
        <v>98000</v>
      </c>
      <c r="E76" s="8" t="inlineStr">
        <is>
          <t>레몬축</t>
        </is>
      </c>
      <c r="F76" s="8" t="inlineStr">
        <is>
          <t>유선</t>
        </is>
      </c>
      <c r="G76" s="11" t="n">
        <v>0</v>
      </c>
      <c r="H76" s="13" t="inlineStr">
        <is>
          <t>7~15만원 (고급형/커스텀/무선)</t>
        </is>
      </c>
    </row>
    <row r="77" ht="20" customHeight="1">
      <c r="A77" s="8" t="n">
        <v>76</v>
      </c>
      <c r="B77" s="8" t="inlineStr">
        <is>
          <t>COX</t>
        </is>
      </c>
      <c r="C77" s="13" t="inlineStr">
        <is>
          <t>COX 카일 정품 광축 스위치 (5+5개, 클릭/리니어)</t>
        </is>
      </c>
      <c r="D77" s="11" t="n">
        <v>3990</v>
      </c>
      <c r="E77" s="8" t="inlineStr">
        <is>
          <t>광축</t>
        </is>
      </c>
      <c r="F77" s="8" t="inlineStr">
        <is>
          <t>미표기</t>
        </is>
      </c>
      <c r="G77" s="11" t="n">
        <v>20</v>
      </c>
      <c r="H77" s="13" t="inlineStr">
        <is>
          <t>3만원 미만 (초가성비/보급형)</t>
        </is>
      </c>
    </row>
    <row r="78" ht="20" customHeight="1">
      <c r="A78" s="8" t="n">
        <v>77</v>
      </c>
      <c r="B78" s="8" t="inlineStr">
        <is>
          <t>프리플로우</t>
        </is>
      </c>
      <c r="C78" s="13" t="inlineStr">
        <is>
          <t>프리플로우 archon AK47 유무선 기계식 (마에스트로)</t>
        </is>
      </c>
      <c r="D78" s="11" t="n">
        <v>57000</v>
      </c>
      <c r="E78" s="8" t="inlineStr">
        <is>
          <t>-</t>
        </is>
      </c>
      <c r="F78" s="8" t="inlineStr">
        <is>
          <t>유선+무선</t>
        </is>
      </c>
      <c r="G78" s="11" t="n">
        <v>74</v>
      </c>
      <c r="H78" s="13" t="inlineStr">
        <is>
          <t>3~7만원 (가성비 기계식/메인스트림)</t>
        </is>
      </c>
    </row>
    <row r="79" ht="20" customHeight="1">
      <c r="A79" s="8" t="n">
        <v>78</v>
      </c>
      <c r="B79" s="8" t="inlineStr">
        <is>
          <t>darkFlash</t>
        </is>
      </c>
      <c r="C79" s="13" t="inlineStr">
        <is>
          <t>darkFlash DKM100 키보드 마우스 세트 (흑설탕)</t>
        </is>
      </c>
      <c r="D79" s="11" t="n">
        <v>27170</v>
      </c>
      <c r="E79" s="8" t="inlineStr">
        <is>
          <t>-</t>
        </is>
      </c>
      <c r="F79" s="8" t="inlineStr">
        <is>
          <t>유선</t>
        </is>
      </c>
      <c r="G79" s="11" t="n">
        <v>4</v>
      </c>
      <c r="H79" s="13" t="inlineStr">
        <is>
          <t>3만원 미만 (초가성비/보급형)</t>
        </is>
      </c>
    </row>
    <row r="80" ht="20" customHeight="1">
      <c r="A80" s="8" t="n">
        <v>79</v>
      </c>
      <c r="B80" s="8" t="inlineStr">
        <is>
          <t>로지텍 (Logitech)</t>
        </is>
      </c>
      <c r="C80" s="13" t="inlineStr">
        <is>
          <t>로지텍 MK275 (정품)</t>
        </is>
      </c>
      <c r="D80" s="11" t="n">
        <v>34780</v>
      </c>
      <c r="E80" s="8" t="inlineStr">
        <is>
          <t>-</t>
        </is>
      </c>
      <c r="F80" s="8" t="inlineStr">
        <is>
          <t>무선</t>
        </is>
      </c>
      <c r="G80" s="11" t="n">
        <v>291</v>
      </c>
      <c r="H80" s="13" t="inlineStr">
        <is>
          <t>3~7만원 (가성비 기계식/메인스트림)</t>
        </is>
      </c>
    </row>
    <row r="81" ht="20" customHeight="1">
      <c r="A81" s="8" t="n">
        <v>80</v>
      </c>
      <c r="B81" s="8" t="inlineStr">
        <is>
          <t>로지텍 (Logitech)</t>
        </is>
      </c>
      <c r="C81" s="13" t="inlineStr">
        <is>
          <t>로지텍 G515 LIGHTSPEED TKL (정품) (화이트)</t>
        </is>
      </c>
      <c r="D81" s="11" t="n">
        <v>129000</v>
      </c>
      <c r="E81" s="8" t="inlineStr">
        <is>
          <t>-</t>
        </is>
      </c>
      <c r="F81" s="8" t="inlineStr">
        <is>
          <t>유선+무선</t>
        </is>
      </c>
      <c r="G81" s="11" t="n">
        <v>43</v>
      </c>
      <c r="H81" s="13" t="inlineStr">
        <is>
          <t>7~15만원 (고급형/커스텀/무선)</t>
        </is>
      </c>
    </row>
    <row r="82" ht="20" customHeight="1">
      <c r="A82" s="8" t="n">
        <v>81</v>
      </c>
      <c r="B82" s="8" t="inlineStr">
        <is>
          <t>darkFlash</t>
        </is>
      </c>
      <c r="C82" s="13" t="inlineStr">
        <is>
          <t>darkFlash CK104 무선 기계식 키보드 마우스 세트 블랙 (적축)</t>
        </is>
      </c>
      <c r="D82" s="11" t="n">
        <v>34490</v>
      </c>
      <c r="E82" s="8" t="inlineStr">
        <is>
          <t>적축</t>
        </is>
      </c>
      <c r="F82" s="8" t="inlineStr">
        <is>
          <t>무선</t>
        </is>
      </c>
      <c r="G82" s="11" t="n">
        <v>4</v>
      </c>
      <c r="H82" s="13" t="inlineStr">
        <is>
          <t>3~7만원 (가성비 기계식/메인스트림)</t>
        </is>
      </c>
    </row>
    <row r="83" ht="20" customHeight="1">
      <c r="A83" s="8" t="n">
        <v>82</v>
      </c>
      <c r="B83" s="8" t="inlineStr">
        <is>
          <t>로지텍 (Logitech)</t>
        </is>
      </c>
      <c r="C83" s="13" t="inlineStr">
        <is>
          <t>로지텍 ERGO K860 (정품)</t>
        </is>
      </c>
      <c r="D83" s="11" t="n">
        <v>159000</v>
      </c>
      <c r="E83" s="8" t="inlineStr">
        <is>
          <t>-</t>
        </is>
      </c>
      <c r="F83" s="8" t="inlineStr">
        <is>
          <t>무선</t>
        </is>
      </c>
      <c r="G83" s="11" t="n">
        <v>270</v>
      </c>
      <c r="H83" s="13" t="inlineStr">
        <is>
          <t>15만원 이상 (하이엔드/플래그십)</t>
        </is>
      </c>
    </row>
    <row r="84" ht="20" customHeight="1">
      <c r="A84" s="8" t="n">
        <v>83</v>
      </c>
      <c r="B84" s="8" t="inlineStr">
        <is>
          <t>COX</t>
        </is>
      </c>
      <c r="C84" s="13" t="inlineStr">
        <is>
          <t>COX COS500 무선</t>
        </is>
      </c>
      <c r="D84" s="11" t="n">
        <v>28000</v>
      </c>
      <c r="E84" s="8" t="inlineStr">
        <is>
          <t>-</t>
        </is>
      </c>
      <c r="F84" s="8" t="inlineStr">
        <is>
          <t>무선</t>
        </is>
      </c>
      <c r="G84" s="11" t="n">
        <v>4</v>
      </c>
      <c r="H84" s="13" t="inlineStr">
        <is>
          <t>3만원 미만 (초가성비/보급형)</t>
        </is>
      </c>
    </row>
    <row r="85" ht="20" customHeight="1">
      <c r="A85" s="8" t="n">
        <v>84</v>
      </c>
      <c r="B85" s="8" t="inlineStr">
        <is>
          <t>로지텍 (Logitech)</t>
        </is>
      </c>
      <c r="C85" s="13" t="inlineStr">
        <is>
          <t>로지텍 K400 PLUS (정품)</t>
        </is>
      </c>
      <c r="D85" s="11" t="n">
        <v>51570</v>
      </c>
      <c r="E85" s="8" t="inlineStr">
        <is>
          <t>-</t>
        </is>
      </c>
      <c r="F85" s="8" t="inlineStr">
        <is>
          <t>무선</t>
        </is>
      </c>
      <c r="G85" s="11" t="n">
        <v>16</v>
      </c>
      <c r="H85" s="13" t="inlineStr">
        <is>
          <t>3~7만원 (가성비 기계식/메인스트림)</t>
        </is>
      </c>
    </row>
    <row r="86" ht="20" customHeight="1">
      <c r="A86" s="8" t="n">
        <v>85</v>
      </c>
      <c r="B86" s="8" t="inlineStr">
        <is>
          <t>앱코 (ABKO)</t>
        </is>
      </c>
      <c r="C86" s="13" t="inlineStr">
        <is>
          <t>앱코 AF108PRO ABKO x SOAI 콜라보 3모드 기계식 코랄블루 (소복눈축)</t>
        </is>
      </c>
      <c r="D86" s="11" t="n">
        <v>79000</v>
      </c>
      <c r="E86" s="8" t="inlineStr">
        <is>
          <t>소복눈축</t>
        </is>
      </c>
      <c r="F86" s="8" t="inlineStr">
        <is>
          <t>유선+무선</t>
        </is>
      </c>
      <c r="G86" s="11" t="n">
        <v>21</v>
      </c>
      <c r="H86" s="13" t="inlineStr">
        <is>
          <t>7~15만원 (고급형/커스텀/무선)</t>
        </is>
      </c>
    </row>
    <row r="87" ht="20" customHeight="1">
      <c r="A87" s="8" t="n">
        <v>86</v>
      </c>
      <c r="B87" s="8" t="inlineStr">
        <is>
          <t>프리플로우</t>
        </is>
      </c>
      <c r="C87" s="13" t="inlineStr">
        <is>
          <t>프리플로우 archon AK47 PRO 유무선 기계식 마시멜로우 (세이야축)</t>
        </is>
      </c>
      <c r="D87" s="11" t="n">
        <v>79900</v>
      </c>
      <c r="E87" s="8" t="inlineStr">
        <is>
          <t>세이야축</t>
        </is>
      </c>
      <c r="F87" s="8" t="inlineStr">
        <is>
          <t>유선+무선</t>
        </is>
      </c>
      <c r="G87" s="11" t="n">
        <v>0</v>
      </c>
      <c r="H87" s="13" t="inlineStr">
        <is>
          <t>7~15만원 (고급형/커스텀/무선)</t>
        </is>
      </c>
    </row>
    <row r="88" ht="20" customHeight="1">
      <c r="A88" s="8" t="n">
        <v>87</v>
      </c>
      <c r="B88" s="8" t="inlineStr">
        <is>
          <t>로지텍 (Logitech)</t>
        </is>
      </c>
      <c r="C88" s="13" t="inlineStr">
        <is>
          <t>로지텍 MX Master 3S + MX Keys S COMBO (정품)</t>
        </is>
      </c>
      <c r="D88" s="11" t="n">
        <v>269000</v>
      </c>
      <c r="E88" s="8" t="inlineStr">
        <is>
          <t>-</t>
        </is>
      </c>
      <c r="F88" s="8" t="inlineStr">
        <is>
          <t>무선</t>
        </is>
      </c>
      <c r="G88" s="11" t="n">
        <v>20</v>
      </c>
      <c r="H88" s="13" t="inlineStr">
        <is>
          <t>15만원 이상 (하이엔드/플래그십)</t>
        </is>
      </c>
    </row>
    <row r="89" ht="20" customHeight="1">
      <c r="A89" s="8" t="n">
        <v>88</v>
      </c>
      <c r="B89" s="8" t="inlineStr">
        <is>
          <t>앱코 (ABKO)</t>
        </is>
      </c>
      <c r="C89" s="13" t="inlineStr">
        <is>
          <t>앱코 KM580 저소음 기계식 키보드 마우스 세트 (블랙)</t>
        </is>
      </c>
      <c r="D89" s="11" t="n">
        <v>77000</v>
      </c>
      <c r="E89" s="8" t="inlineStr">
        <is>
          <t>-</t>
        </is>
      </c>
      <c r="F89" s="8" t="inlineStr">
        <is>
          <t>유선</t>
        </is>
      </c>
      <c r="G89" s="11" t="n">
        <v>0</v>
      </c>
      <c r="H89" s="13" t="inlineStr">
        <is>
          <t>7~15만원 (고급형/커스텀/무선)</t>
        </is>
      </c>
    </row>
    <row r="90" ht="20" customHeight="1">
      <c r="A90" s="8" t="n">
        <v>89</v>
      </c>
      <c r="B90" s="8" t="inlineStr">
        <is>
          <t>삼성전자</t>
        </is>
      </c>
      <c r="C90" s="13" t="inlineStr">
        <is>
          <t>삼성전자 SKG-3000UB (키스킨 포함)</t>
        </is>
      </c>
      <c r="D90" s="11" t="n">
        <v>21500</v>
      </c>
      <c r="E90" s="8" t="inlineStr">
        <is>
          <t>-</t>
        </is>
      </c>
      <c r="F90" s="8" t="inlineStr">
        <is>
          <t>유선</t>
        </is>
      </c>
      <c r="G90" s="11" t="n">
        <v>0</v>
      </c>
      <c r="H90" s="13" t="inlineStr">
        <is>
          <t>3만원 미만 (초가성비/보급형)</t>
        </is>
      </c>
    </row>
    <row r="91" ht="20" customHeight="1">
      <c r="A91" s="8" t="n">
        <v>90</v>
      </c>
      <c r="B91" s="8" t="inlineStr">
        <is>
          <t>SPM</t>
        </is>
      </c>
      <c r="C91" s="13" t="inlineStr">
        <is>
          <t>SPM 세모키 PL87W ARA 유무선 기계식</t>
        </is>
      </c>
      <c r="D91" s="11" t="n">
        <v>69000</v>
      </c>
      <c r="E91" s="8" t="inlineStr">
        <is>
          <t>-</t>
        </is>
      </c>
      <c r="F91" s="8" t="inlineStr">
        <is>
          <t>유선+무선</t>
        </is>
      </c>
      <c r="G91" s="11" t="n">
        <v>31</v>
      </c>
      <c r="H91" s="13" t="inlineStr">
        <is>
          <t>3~7만원 (가성비 기계식/메인스트림)</t>
        </is>
      </c>
    </row>
    <row r="92" ht="20" customHeight="1">
      <c r="A92" s="8" t="n">
        <v>91</v>
      </c>
      <c r="B92" s="8" t="inlineStr">
        <is>
          <t>앱코 (ABKO)</t>
        </is>
      </c>
      <c r="C92" s="13" t="inlineStr">
        <is>
          <t>앱코 MK108 저소음 멤브레인 (블랙)</t>
        </is>
      </c>
      <c r="D92" s="11" t="n">
        <v>18900</v>
      </c>
      <c r="E92" s="8" t="inlineStr">
        <is>
          <t>-</t>
        </is>
      </c>
      <c r="F92" s="8" t="inlineStr">
        <is>
          <t>유선</t>
        </is>
      </c>
      <c r="G92" s="11" t="n">
        <v>77</v>
      </c>
      <c r="H92" s="13" t="inlineStr">
        <is>
          <t>3만원 미만 (초가성비/보급형)</t>
        </is>
      </c>
    </row>
    <row r="93" ht="20" customHeight="1">
      <c r="A93" s="8" t="n">
        <v>92</v>
      </c>
      <c r="B93" s="8" t="inlineStr">
        <is>
          <t>MSI</t>
        </is>
      </c>
      <c r="C93" s="13" t="inlineStr">
        <is>
          <t>MSI FORGE K200 WIRELESS</t>
        </is>
      </c>
      <c r="D93" s="11" t="n">
        <v>20900</v>
      </c>
      <c r="E93" s="8" t="inlineStr">
        <is>
          <t>-</t>
        </is>
      </c>
      <c r="F93" s="8" t="inlineStr">
        <is>
          <t>무선</t>
        </is>
      </c>
      <c r="G93" s="11" t="n">
        <v>0</v>
      </c>
      <c r="H93" s="13" t="inlineStr">
        <is>
          <t>3만원 미만 (초가성비/보급형)</t>
        </is>
      </c>
    </row>
    <row r="94" ht="20" customHeight="1">
      <c r="A94" s="8" t="n">
        <v>93</v>
      </c>
      <c r="B94" s="8" t="inlineStr">
        <is>
          <t>앱코 (ABKO)</t>
        </is>
      </c>
      <c r="C94" s="13" t="inlineStr">
        <is>
          <t>앱코 K517 레트로 기계식 (적축)</t>
        </is>
      </c>
      <c r="D94" s="11" t="n">
        <v>27900</v>
      </c>
      <c r="E94" s="8" t="inlineStr">
        <is>
          <t>적축</t>
        </is>
      </c>
      <c r="F94" s="8" t="inlineStr">
        <is>
          <t>유선</t>
        </is>
      </c>
      <c r="G94" s="11" t="n">
        <v>54</v>
      </c>
      <c r="H94" s="13" t="inlineStr">
        <is>
          <t>3만원 미만 (초가성비/보급형)</t>
        </is>
      </c>
    </row>
    <row r="95" ht="20" customHeight="1">
      <c r="A95" s="8" t="n">
        <v>94</v>
      </c>
      <c r="B95" s="8" t="inlineStr">
        <is>
          <t>로지텍 (Logitech)</t>
        </is>
      </c>
      <c r="C95" s="13" t="inlineStr">
        <is>
          <t>로지텍 MK235 (병행수입)</t>
        </is>
      </c>
      <c r="D95" s="11" t="n">
        <v>24390</v>
      </c>
      <c r="E95" s="8" t="inlineStr">
        <is>
          <t>-</t>
        </is>
      </c>
      <c r="F95" s="8" t="inlineStr">
        <is>
          <t>무선</t>
        </is>
      </c>
      <c r="G95" s="11" t="n">
        <v>70</v>
      </c>
      <c r="H95" s="13" t="inlineStr">
        <is>
          <t>3만원 미만 (초가성비/보급형)</t>
        </is>
      </c>
    </row>
    <row r="96" ht="20" customHeight="1">
      <c r="A96" s="8" t="n">
        <v>95</v>
      </c>
      <c r="B96" s="8" t="inlineStr">
        <is>
          <t>darkFlash</t>
        </is>
      </c>
      <c r="C96" s="13" t="inlineStr">
        <is>
          <t>darkFlash GD68 유무선 기계식 (별빛 파랑)</t>
        </is>
      </c>
      <c r="D96" s="11" t="n">
        <v>45010</v>
      </c>
      <c r="E96" s="8" t="inlineStr">
        <is>
          <t>-</t>
        </is>
      </c>
      <c r="F96" s="8" t="inlineStr">
        <is>
          <t>유선+무선</t>
        </is>
      </c>
      <c r="G96" s="11" t="n">
        <v>1</v>
      </c>
      <c r="H96" s="13" t="inlineStr">
        <is>
          <t>3~7만원 (가성비 기계식/메인스트림)</t>
        </is>
      </c>
    </row>
    <row r="97" ht="20" customHeight="1">
      <c r="A97" s="8" t="n">
        <v>96</v>
      </c>
      <c r="B97" s="8" t="inlineStr">
        <is>
          <t>AULA (독거미)</t>
        </is>
      </c>
      <c r="C97" s="13" t="inlineStr">
        <is>
          <t>AULA F87 Pro 유무선 기계식 블러쉬 핑크 한글 (저소음 바다축)</t>
        </is>
      </c>
      <c r="D97" s="11" t="n">
        <v>73000</v>
      </c>
      <c r="E97" s="8" t="inlineStr">
        <is>
          <t>저소음 바다축</t>
        </is>
      </c>
      <c r="F97" s="8" t="inlineStr">
        <is>
          <t>유선+무선</t>
        </is>
      </c>
      <c r="G97" s="11" t="n">
        <v>0</v>
      </c>
      <c r="H97" s="13" t="inlineStr">
        <is>
          <t>7~15만원 (고급형/커스텀/무선)</t>
        </is>
      </c>
    </row>
    <row r="98" ht="20" customHeight="1">
      <c r="A98" s="8" t="n">
        <v>97</v>
      </c>
      <c r="B98" s="8" t="inlineStr">
        <is>
          <t>커세어 (CORSAIR)</t>
        </is>
      </c>
      <c r="C98" s="13" t="inlineStr">
        <is>
          <t>CORSAIR 스키프 100 PLUS</t>
        </is>
      </c>
      <c r="D98" s="11" t="n">
        <v>79000</v>
      </c>
      <c r="E98" s="8" t="inlineStr">
        <is>
          <t>-</t>
        </is>
      </c>
      <c r="F98" s="8" t="inlineStr">
        <is>
          <t>유선</t>
        </is>
      </c>
      <c r="G98" s="11" t="n">
        <v>0</v>
      </c>
      <c r="H98" s="13" t="inlineStr">
        <is>
          <t>7~15만원 (고급형/커스텀/무선)</t>
        </is>
      </c>
    </row>
    <row r="99" ht="20" customHeight="1">
      <c r="A99" s="8" t="n">
        <v>98</v>
      </c>
      <c r="B99" s="8" t="inlineStr">
        <is>
          <t>커세어 (CORSAIR)</t>
        </is>
      </c>
      <c r="C99" s="13" t="inlineStr">
        <is>
          <t>CORSAIR 갤리온 100 SD 스트림덱 LCD 기계식</t>
        </is>
      </c>
      <c r="D99" s="11" t="n">
        <v>446390</v>
      </c>
      <c r="E99" s="8" t="inlineStr">
        <is>
          <t>-</t>
        </is>
      </c>
      <c r="F99" s="8" t="inlineStr">
        <is>
          <t>유선</t>
        </is>
      </c>
      <c r="G99" s="11" t="n">
        <v>0</v>
      </c>
      <c r="H99" s="13" t="inlineStr">
        <is>
          <t>15만원 이상 (하이엔드/플래그십)</t>
        </is>
      </c>
    </row>
    <row r="100" ht="20" customHeight="1">
      <c r="A100" s="8" t="n">
        <v>99</v>
      </c>
      <c r="B100" s="8" t="inlineStr">
        <is>
          <t>큐센 (QSENN)</t>
        </is>
      </c>
      <c r="C100" s="13" t="inlineStr">
        <is>
          <t>QSENN GP-K7000 (블랙)</t>
        </is>
      </c>
      <c r="D100" s="11" t="n">
        <v>26840</v>
      </c>
      <c r="E100" s="8" t="inlineStr">
        <is>
          <t>-</t>
        </is>
      </c>
      <c r="F100" s="8" t="inlineStr">
        <is>
          <t>유선</t>
        </is>
      </c>
      <c r="G100" s="11" t="n">
        <v>17</v>
      </c>
      <c r="H100" s="13" t="inlineStr">
        <is>
          <t>3만원 미만 (초가성비/보급형)</t>
        </is>
      </c>
    </row>
    <row r="101" ht="20" customHeight="1">
      <c r="A101" s="8" t="n">
        <v>100</v>
      </c>
      <c r="B101" s="8" t="inlineStr">
        <is>
          <t>체리 (CHERRY)</t>
        </is>
      </c>
      <c r="C101" s="13" t="inlineStr">
        <is>
          <t>CHERRY XTRFY K5 PRO TMR (블랙)</t>
        </is>
      </c>
      <c r="D101" s="11" t="n">
        <v>99000</v>
      </c>
      <c r="E101" s="8" t="inlineStr">
        <is>
          <t>-</t>
        </is>
      </c>
      <c r="F101" s="8" t="inlineStr">
        <is>
          <t>유선</t>
        </is>
      </c>
      <c r="G101" s="11" t="n">
        <v>0</v>
      </c>
      <c r="H101" s="13" t="inlineStr">
        <is>
          <t>7~15만원 (고급형/커스텀/무선)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2026-08-26T22:32:47Z</dcterms:created>
  <dcterms:modified xmlns:dcterms="http://purl.org/dc/terms/" xmlns:xsi="http://www.w3.org/2001/XMLSchema-instance" xsi:type="dcterms:W3CDTF">2026-08-26T22:32:48Z</dcterms:modified>
</cp:coreProperties>
</file>