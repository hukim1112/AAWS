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시장 개요 및 KPI" sheetId="1" state="visible" r:id="rId1"/>
    <sheet xmlns:r="http://schemas.openxmlformats.org/officeDocument/2006/relationships" name="브랜드 및 가격 분석" sheetId="2" state="visible" r:id="rId2"/>
    <sheet xmlns:r="http://schemas.openxmlformats.org/officeDocument/2006/relationships" name="연결방식 및 스위치 분석" sheetId="3" state="visible" r:id="rId3"/>
    <sheet xmlns:r="http://schemas.openxmlformats.org/officeDocument/2006/relationships" name="키보드 원본데이터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개&quot;"/>
    <numFmt numFmtId="165" formatCode="₩#,##0"/>
    <numFmt numFmtId="166" formatCode="#,##0&quot; 건&quot;"/>
    <numFmt numFmtId="167" formatCode="0.0%"/>
    <numFmt numFmtId="168" formatCode="#,##0.0"/>
  </numFmts>
  <fonts count="10">
    <font>
      <name val="Calibri"/>
      <family val="2"/>
      <color theme="1"/>
      <sz val="11"/>
      <scheme val="minor"/>
    </font>
    <font>
      <name val="Malgun Gothic"/>
      <b val="1"/>
      <color rgb="000F172A"/>
      <sz val="16"/>
    </font>
    <font>
      <name val="Malgun Gothic"/>
      <i val="1"/>
      <color rgb="0064748B"/>
      <sz val="9"/>
    </font>
    <font>
      <name val="Malgun Gothic"/>
      <color rgb="00475569"/>
      <sz val="10"/>
    </font>
    <font>
      <name val="Malgun Gothic"/>
      <b val="1"/>
      <color rgb="001E3A8A"/>
      <sz val="18"/>
    </font>
    <font>
      <name val="Malgun Gothic"/>
      <b val="1"/>
      <color rgb="001E3A8A"/>
      <sz val="12"/>
    </font>
    <font>
      <name val="Malgun Gothic"/>
      <b val="1"/>
      <color rgb="00FFFFFF"/>
      <sz val="11"/>
    </font>
    <font>
      <name val="Malgun Gothic"/>
      <b val="1"/>
      <sz val="10"/>
    </font>
    <font>
      <name val="Malgun Gothic"/>
      <sz val="10"/>
    </font>
    <font>
      <name val="Malgun Gothic"/>
      <b val="1"/>
      <color rgb="001E3A8A"/>
      <sz val="13"/>
    </font>
  </fonts>
  <fills count="6">
    <fill>
      <patternFill/>
    </fill>
    <fill>
      <patternFill patternType="gray125"/>
    </fill>
    <fill>
      <patternFill patternType="solid">
        <fgColor rgb="00F1F5F9"/>
        <bgColor rgb="00F1F5F9"/>
      </patternFill>
    </fill>
    <fill>
      <patternFill patternType="solid">
        <fgColor rgb="001E3A8A"/>
        <bgColor rgb="001E3A8A"/>
      </patternFill>
    </fill>
    <fill>
      <patternFill patternType="solid">
        <fgColor rgb="00F8FAFC"/>
        <bgColor rgb="00F8FAFC"/>
      </patternFill>
    </fill>
    <fill>
      <patternFill patternType="solid">
        <fgColor rgb="00DBEAFE"/>
        <bgColor rgb="00DBEAFE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double">
        <color rgb="001E3A8A"/>
      </bottom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164" fontId="4" fillId="2" borderId="0" applyAlignment="1" pivotButton="0" quotePrefix="0" xfId="0">
      <alignment horizontal="center" vertical="center"/>
    </xf>
    <xf numFmtId="165" fontId="4" fillId="2" borderId="0" applyAlignment="1" pivotButton="0" quotePrefix="0" xfId="0">
      <alignment horizontal="center" vertical="center"/>
    </xf>
    <xf numFmtId="166" fontId="4" fillId="2" borderId="0" applyAlignment="1" pivotButton="0" quotePrefix="0" xfId="0">
      <alignment horizontal="center" vertical="center"/>
    </xf>
    <xf numFmtId="0" fontId="5" fillId="0" borderId="0" pivotButton="0" quotePrefix="0" xfId="0"/>
    <xf numFmtId="0" fontId="6" fillId="3" borderId="0" applyAlignment="1" pivotButton="0" quotePrefix="0" xfId="0">
      <alignment horizontal="center" vertical="center"/>
    </xf>
    <xf numFmtId="0" fontId="7" fillId="0" borderId="1" applyAlignment="1" pivotButton="0" quotePrefix="0" xfId="0">
      <alignment horizontal="left" vertical="center"/>
    </xf>
    <xf numFmtId="0" fontId="0" fillId="0" borderId="1" pivotButton="0" quotePrefix="0" xfId="0"/>
    <xf numFmtId="0" fontId="8" fillId="0" borderId="1" applyAlignment="1" pivotButton="0" quotePrefix="0" xfId="0">
      <alignment horizontal="left" vertical="center" wrapText="1"/>
    </xf>
    <xf numFmtId="0" fontId="7" fillId="4" borderId="1" applyAlignment="1" pivotButton="0" quotePrefix="0" xfId="0">
      <alignment horizontal="left" vertical="center"/>
    </xf>
    <xf numFmtId="0" fontId="0" fillId="4" borderId="1" pivotButton="0" quotePrefix="0" xfId="0"/>
    <xf numFmtId="0" fontId="8" fillId="4" borderId="1" applyAlignment="1" pivotButton="0" quotePrefix="0" xfId="0">
      <alignment horizontal="left" vertical="center" wrapText="1"/>
    </xf>
    <xf numFmtId="0" fontId="9" fillId="0" borderId="0" pivotButton="0" quotePrefix="0" xfId="0"/>
    <xf numFmtId="3" fontId="0" fillId="0" borderId="1" applyAlignment="1" pivotButton="0" quotePrefix="0" xfId="0">
      <alignment horizontal="right" vertical="center"/>
    </xf>
    <xf numFmtId="167" fontId="0" fillId="0" borderId="1" applyAlignment="1" pivotButton="0" quotePrefix="0" xfId="0">
      <alignment horizontal="right" vertical="center"/>
    </xf>
    <xf numFmtId="165" fontId="0" fillId="0" borderId="1" applyAlignment="1" pivotButton="0" quotePrefix="0" xfId="0">
      <alignment horizontal="right" vertical="center"/>
    </xf>
    <xf numFmtId="168" fontId="0" fillId="0" borderId="1" applyAlignment="1" pivotButton="0" quotePrefix="0" xfId="0">
      <alignment horizontal="right" vertical="center"/>
    </xf>
    <xf numFmtId="3" fontId="0" fillId="4" borderId="1" applyAlignment="1" pivotButton="0" quotePrefix="0" xfId="0">
      <alignment horizontal="right" vertical="center"/>
    </xf>
    <xf numFmtId="167" fontId="0" fillId="4" borderId="1" applyAlignment="1" pivotButton="0" quotePrefix="0" xfId="0">
      <alignment horizontal="right" vertical="center"/>
    </xf>
    <xf numFmtId="165" fontId="0" fillId="4" borderId="1" applyAlignment="1" pivotButton="0" quotePrefix="0" xfId="0">
      <alignment horizontal="right" vertical="center"/>
    </xf>
    <xf numFmtId="168" fontId="0" fillId="4" borderId="1" applyAlignment="1" pivotButton="0" quotePrefix="0" xfId="0">
      <alignment horizontal="right" vertical="center"/>
    </xf>
    <xf numFmtId="0" fontId="7" fillId="5" borderId="2" applyAlignment="1" pivotButton="0" quotePrefix="0" xfId="0">
      <alignment horizontal="center" vertical="center"/>
    </xf>
    <xf numFmtId="3" fontId="7" fillId="5" borderId="2" applyAlignment="1" pivotButton="0" quotePrefix="0" xfId="0">
      <alignment horizontal="right" vertical="center"/>
    </xf>
    <xf numFmtId="167" fontId="7" fillId="5" borderId="2" applyAlignment="1" pivotButton="0" quotePrefix="0" xfId="0">
      <alignment horizontal="right" vertical="center"/>
    </xf>
    <xf numFmtId="165" fontId="7" fillId="5" borderId="2" applyAlignment="1" pivotButton="0" quotePrefix="0" xfId="0">
      <alignment horizontal="right" vertical="center"/>
    </xf>
    <xf numFmtId="168" fontId="7" fillId="5" borderId="2" applyAlignment="1" pivotButton="0" quotePrefix="0" xfId="0">
      <alignment horizontal="right" vertical="center"/>
    </xf>
    <xf numFmtId="0" fontId="8" fillId="4" borderId="1" applyAlignment="1" pivotButton="0" quotePrefix="0" xfId="0">
      <alignment horizontal="left" vertical="center"/>
    </xf>
    <xf numFmtId="0" fontId="8" fillId="0" borderId="1" applyAlignment="1" pivotButton="0" quotePrefix="0" xfId="0">
      <alignment horizontal="left" vertical="center"/>
    </xf>
    <xf numFmtId="0" fontId="8" fillId="0" borderId="1" applyAlignment="1" pivotButton="0" quotePrefix="0" xfId="0">
      <alignment horizontal="center"/>
    </xf>
    <xf numFmtId="0" fontId="8" fillId="0" borderId="1" applyAlignment="1" pivotButton="0" quotePrefix="0" xfId="0">
      <alignment horizontal="left"/>
    </xf>
    <xf numFmtId="165" fontId="8" fillId="0" borderId="1" applyAlignment="1" pivotButton="0" quotePrefix="0" xfId="0">
      <alignment horizontal="right"/>
    </xf>
    <xf numFmtId="3" fontId="8" fillId="0" borderId="1" applyAlignment="1" pivotButton="0" quotePrefix="0" xfId="0">
      <alignment horizontal="right"/>
    </xf>
    <xf numFmtId="0" fontId="8" fillId="4" borderId="1" applyAlignment="1" pivotButton="0" quotePrefix="0" xfId="0">
      <alignment horizontal="center"/>
    </xf>
    <xf numFmtId="0" fontId="8" fillId="4" borderId="1" applyAlignment="1" pivotButton="0" quotePrefix="0" xfId="0">
      <alignment horizontal="left"/>
    </xf>
    <xf numFmtId="165" fontId="8" fillId="4" borderId="1" applyAlignment="1" pivotButton="0" quotePrefix="0" xfId="0">
      <alignment horizontal="right"/>
    </xf>
    <xf numFmtId="3" fontId="8" fillId="4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showGridLines="1" workbookViewId="0">
      <selection activeCell="A1" sqref="A1"/>
    </sheetView>
  </sheetViews>
  <sheetFormatPr baseColWidth="8" defaultRowHeight="15"/>
  <cols>
    <col width="3" customWidth="1" min="1" max="1"/>
    <col width="16" customWidth="1" min="2" max="2"/>
    <col width="16" customWidth="1" min="3" max="3"/>
    <col width="18" customWidth="1" min="4" max="4"/>
    <col width="18" customWidth="1" min="5" max="5"/>
    <col width="16" customWidth="1" min="6" max="6"/>
    <col width="18" customWidth="1" min="7" max="7"/>
  </cols>
  <sheetData>
    <row r="1"/>
    <row r="2" ht="35" customHeight="1">
      <c r="B2" s="1" t="inlineStr">
        <is>
          <t>다나와 키보드 시장 분석 Executive Summary</t>
        </is>
      </c>
    </row>
    <row r="3">
      <c r="B3" s="2" t="inlineStr">
        <is>
          <t>분석 대상: 다나와 키보드 인기 상품 100개 | 분석 기준일: 2026년 8월 | 데이터 출처: danawa.com</t>
        </is>
      </c>
    </row>
    <row r="4"/>
    <row r="5" ht="24" customHeight="1">
      <c r="B5" s="3" t="inlineStr">
        <is>
          <t>총 등록 제품 수</t>
        </is>
      </c>
      <c r="D5" s="3" t="inlineStr">
        <is>
          <t>평균 판매 가격</t>
        </is>
      </c>
      <c r="F5" s="3" t="inlineStr">
        <is>
          <t>중앙 판매 가격</t>
        </is>
      </c>
    </row>
    <row r="6" ht="24" customHeight="1">
      <c r="B6" s="4">
        <f>COUNTA('키보드 원본데이터'!B2:B101)</f>
        <v/>
      </c>
      <c r="D6" s="5">
        <f>AVERAGE('키보드 원본데이터'!C2:C101)</f>
        <v/>
      </c>
      <c r="F6" s="5">
        <f>MEDIAN('키보드 원본데이터'!C2:C101)</f>
        <v/>
      </c>
    </row>
    <row r="7"/>
    <row r="8" ht="24" customHeight="1">
      <c r="B8" s="3" t="inlineStr">
        <is>
          <t>최저가 제품</t>
        </is>
      </c>
      <c r="D8" s="3" t="inlineStr">
        <is>
          <t>최고가 제품</t>
        </is>
      </c>
      <c r="F8" s="3" t="inlineStr">
        <is>
          <t>총 누적 리뷰 수</t>
        </is>
      </c>
    </row>
    <row r="9" ht="24" customHeight="1">
      <c r="B9" s="5">
        <f>MIN('키보드 원본데이터'!C2:C101)</f>
        <v/>
      </c>
      <c r="D9" s="5">
        <f>MAX('키보드 원본데이터'!C2:C101)</f>
        <v/>
      </c>
      <c r="F9" s="6">
        <f>SUM('키보드 원본데이터'!F2:F101)</f>
        <v/>
      </c>
    </row>
    <row r="10"/>
    <row r="11"/>
    <row r="12">
      <c r="B12" s="7" t="inlineStr">
        <is>
          <t>📌 핵심 시장 트렌드 및 요약</t>
        </is>
      </c>
    </row>
    <row r="13" ht="26" customHeight="1">
      <c r="B13" s="8" t="inlineStr">
        <is>
          <t>구분</t>
        </is>
      </c>
      <c r="D13" s="8" t="inlineStr">
        <is>
          <t>주요 분석 내용</t>
        </is>
      </c>
    </row>
    <row r="14" ht="24" customHeight="1">
      <c r="B14" s="9" t="inlineStr">
        <is>
          <t>1. 가성비 &amp; 커스텀 기계식 열풍</t>
        </is>
      </c>
      <c r="C14" s="10" t="n"/>
      <c r="D14" s="11" t="inlineStr">
        <is>
          <t>AULA(독거미)와 앱코, 프리플로우 등이 4~8만원대 가스켓 마운트 및 저소음 스위치를 앞세워 대중적 인기 점유.</t>
        </is>
      </c>
      <c r="E14" s="10" t="n"/>
      <c r="F14" s="10" t="n"/>
      <c r="G14" s="10" t="n"/>
    </row>
    <row r="15" ht="24" customHeight="1">
      <c r="B15" s="12" t="inlineStr">
        <is>
          <t>2. 연결 방식의 삼원화</t>
        </is>
      </c>
      <c r="C15" s="13" t="n"/>
      <c r="D15" s="14" t="inlineStr">
        <is>
          <t>유선(43%), 유무선 겸용(32%), 무선(23%)로 3방향 분화. 특히 유무선 제품의 평균 가격(9.1만원)이 가장 높게 형성.</t>
        </is>
      </c>
      <c r="E15" s="13" t="n"/>
      <c r="F15" s="13" t="n"/>
      <c r="G15" s="13" t="n"/>
    </row>
    <row r="16" ht="24" customHeight="1">
      <c r="B16" s="9" t="inlineStr">
        <is>
          <t>3. 로지텍의 독보적 대중성</t>
        </is>
      </c>
      <c r="C16" s="10" t="n"/>
      <c r="D16" s="11" t="inlineStr">
        <is>
          <t>로지텍은 전체 리뷰 수의 62.6%(2,605건)를 독식하며 무선 오피스 및 스테디셀러 키보드 시장을 완벽히 지배.</t>
        </is>
      </c>
      <c r="E16" s="10" t="n"/>
      <c r="F16" s="10" t="n"/>
      <c r="G16" s="10" t="n"/>
    </row>
    <row r="17" ht="24" customHeight="1">
      <c r="B17" s="12" t="inlineStr">
        <is>
          <t>4. 스위치 다변화와 저소음 축 부상</t>
        </is>
      </c>
      <c r="C17" s="13" t="n"/>
      <c r="D17" s="14" t="inlineStr">
        <is>
          <t>과거 청축/갈축 중심에서 벗어나 '저소음 바다축', '저소음 피치축', '마그네틱 자석축(래피드 트리거)' 등 특수 스위치 급부상.</t>
        </is>
      </c>
      <c r="E17" s="13" t="n"/>
      <c r="F17" s="13" t="n"/>
      <c r="G17" s="13" t="n"/>
    </row>
    <row r="18" ht="24" customHeight="1">
      <c r="B18" s="9" t="inlineStr">
        <is>
          <t>5. 가격 양극화 현상 심화</t>
        </is>
      </c>
      <c r="C18" s="10" t="n"/>
      <c r="D18" s="11" t="inlineStr">
        <is>
          <t>3만원 미만 초가성비(29개) 및 7~12만원 커스텀(29개)이 주류이며, 20만원 이상 하이엔드 게이밍(10개)으로 양극화.</t>
        </is>
      </c>
      <c r="E18" s="10" t="n"/>
      <c r="F18" s="10" t="n"/>
      <c r="G18" s="10" t="n"/>
    </row>
  </sheetData>
  <mergeCells count="26">
    <mergeCell ref="B2:G2"/>
    <mergeCell ref="D18:G18"/>
    <mergeCell ref="B16:C16"/>
    <mergeCell ref="F6:G6"/>
    <mergeCell ref="D15:G15"/>
    <mergeCell ref="B18:C18"/>
    <mergeCell ref="D14:G14"/>
    <mergeCell ref="D6:E6"/>
    <mergeCell ref="F5:G5"/>
    <mergeCell ref="B14:C14"/>
    <mergeCell ref="B17:C17"/>
    <mergeCell ref="B8:C8"/>
    <mergeCell ref="F8:G8"/>
    <mergeCell ref="B13:C13"/>
    <mergeCell ref="D13:G13"/>
    <mergeCell ref="B9:C9"/>
    <mergeCell ref="D9:E9"/>
    <mergeCell ref="F9:G9"/>
    <mergeCell ref="B3:G3"/>
    <mergeCell ref="D8:E8"/>
    <mergeCell ref="B6:C6"/>
    <mergeCell ref="D17:G17"/>
    <mergeCell ref="B15:C15"/>
    <mergeCell ref="B5:C5"/>
    <mergeCell ref="D5:E5"/>
    <mergeCell ref="D16:G1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6"/>
  <sheetViews>
    <sheetView showGridLines="1" workbookViewId="0">
      <selection activeCell="A1" sqref="A1"/>
    </sheetView>
  </sheetViews>
  <sheetFormatPr baseColWidth="8" defaultRowHeight="15"/>
  <cols>
    <col width="3" customWidth="1" min="1" max="1"/>
    <col width="18" customWidth="1" min="2" max="2"/>
    <col width="101" customWidth="1" min="3" max="3"/>
    <col width="47" customWidth="1" min="4" max="4"/>
    <col width="140" customWidth="1" min="5" max="5"/>
    <col width="132" customWidth="1" min="6" max="6"/>
    <col width="38" customWidth="1" min="7" max="7"/>
    <col width="91" customWidth="1" min="8" max="8"/>
    <col width="25" customWidth="1" min="9" max="9"/>
  </cols>
  <sheetData>
    <row r="1"/>
    <row r="2">
      <c r="B2" s="15" t="inlineStr">
        <is>
          <t>1. 브랜드별 종합 성과 분석 (Brand Breakdown)</t>
        </is>
      </c>
    </row>
    <row r="3"/>
    <row r="4" ht="26" customHeight="1">
      <c r="B4" s="8" t="inlineStr">
        <is>
          <t>브랜드명</t>
        </is>
      </c>
      <c r="C4" s="8" t="inlineStr">
        <is>
          <t>제품 수</t>
        </is>
      </c>
      <c r="D4" s="8" t="inlineStr">
        <is>
          <t>점유율</t>
        </is>
      </c>
      <c r="E4" s="8" t="inlineStr">
        <is>
          <t>평균 가격</t>
        </is>
      </c>
      <c r="F4" s="8" t="inlineStr">
        <is>
          <t>최저 가격</t>
        </is>
      </c>
      <c r="G4" s="8" t="inlineStr">
        <is>
          <t>최고 가격</t>
        </is>
      </c>
      <c r="H4" s="8" t="inlineStr">
        <is>
          <t>누적 리뷰 수</t>
        </is>
      </c>
      <c r="I4" s="8" t="inlineStr">
        <is>
          <t>평균 리뷰 수</t>
        </is>
      </c>
    </row>
    <row r="5" ht="20" customHeight="1">
      <c r="B5" s="9" t="inlineStr">
        <is>
          <t>로지텍</t>
        </is>
      </c>
      <c r="C5" s="16">
        <f>COUNTIF('키보드 원본데이터'!$D$2:$D$101, "로지텍")</f>
        <v/>
      </c>
      <c r="D5" s="17">
        <f>C5/COUNTA('키보드 원본데이터'!$D$2:$D$101)</f>
        <v/>
      </c>
      <c r="E5" s="18">
        <f>AVERAGEIF('키보드 원본데이터'!$D$2:$D$101, "로지텍", '키보드 원본데이터'!$C$2:$C$101)</f>
        <v/>
      </c>
      <c r="F5" s="18">
        <f>MINIFS('키보드 원본데이터'!$C$2:$C$101, '키보드 원본데이터'!$D$2:$D$101, "로지텍")</f>
        <v/>
      </c>
      <c r="G5" s="18">
        <f>MAXIFS('키보드 원본데이터'!$C$2:$C$101, '키보드 원본데이터'!$D$2:$D$101, "로지텍")</f>
        <v/>
      </c>
      <c r="H5" s="16">
        <f>SUMIF('키보드 원본데이터'!$D$2:$D$101, "로지텍", '키보드 원본데이터'!$F$2:$F$101)</f>
        <v/>
      </c>
      <c r="I5" s="19">
        <f>IF(C5&gt;0, H5/C5, 0)</f>
        <v/>
      </c>
    </row>
    <row r="6" ht="20" customHeight="1">
      <c r="B6" s="12" t="inlineStr">
        <is>
          <t>앱코</t>
        </is>
      </c>
      <c r="C6" s="20">
        <f>COUNTIF('키보드 원본데이터'!$D$2:$D$101, "앱코")</f>
        <v/>
      </c>
      <c r="D6" s="21">
        <f>C6/COUNTA('키보드 원본데이터'!$D$2:$D$101)</f>
        <v/>
      </c>
      <c r="E6" s="22">
        <f>AVERAGEIF('키보드 원본데이터'!$D$2:$D$101, "앱코", '키보드 원본데이터'!$C$2:$C$101)</f>
        <v/>
      </c>
      <c r="F6" s="22">
        <f>MINIFS('키보드 원본데이터'!$C$2:$C$101, '키보드 원본데이터'!$D$2:$D$101, "앱코")</f>
        <v/>
      </c>
      <c r="G6" s="22">
        <f>MAXIFS('키보드 원본데이터'!$C$2:$C$101, '키보드 원본데이터'!$D$2:$D$101, "앱코")</f>
        <v/>
      </c>
      <c r="H6" s="20">
        <f>SUMIF('키보드 원본데이터'!$D$2:$D$101, "앱코", '키보드 원본데이터'!$F$2:$F$101)</f>
        <v/>
      </c>
      <c r="I6" s="23">
        <f>IF(C6&gt;0, H6/C6, 0)</f>
        <v/>
      </c>
    </row>
    <row r="7" ht="20" customHeight="1">
      <c r="B7" s="9" t="inlineStr">
        <is>
          <t>AULA</t>
        </is>
      </c>
      <c r="C7" s="16">
        <f>COUNTIF('키보드 원본데이터'!$D$2:$D$101, "AULA")</f>
        <v/>
      </c>
      <c r="D7" s="17">
        <f>C7/COUNTA('키보드 원본데이터'!$D$2:$D$101)</f>
        <v/>
      </c>
      <c r="E7" s="18">
        <f>AVERAGEIF('키보드 원본데이터'!$D$2:$D$101, "AULA", '키보드 원본데이터'!$C$2:$C$101)</f>
        <v/>
      </c>
      <c r="F7" s="18">
        <f>MINIFS('키보드 원본데이터'!$C$2:$C$101, '키보드 원본데이터'!$D$2:$D$101, "AULA")</f>
        <v/>
      </c>
      <c r="G7" s="18">
        <f>MAXIFS('키보드 원본데이터'!$C$2:$C$101, '키보드 원본데이터'!$D$2:$D$101, "AULA")</f>
        <v/>
      </c>
      <c r="H7" s="16">
        <f>SUMIF('키보드 원본데이터'!$D$2:$D$101, "AULA", '키보드 원본데이터'!$F$2:$F$101)</f>
        <v/>
      </c>
      <c r="I7" s="19">
        <f>IF(C7&gt;0, H7/C7, 0)</f>
        <v/>
      </c>
    </row>
    <row r="8" ht="20" customHeight="1">
      <c r="B8" s="12" t="inlineStr">
        <is>
          <t>COX</t>
        </is>
      </c>
      <c r="C8" s="20">
        <f>COUNTIF('키보드 원본데이터'!$D$2:$D$101, "COX")</f>
        <v/>
      </c>
      <c r="D8" s="21">
        <f>C8/COUNTA('키보드 원본데이터'!$D$2:$D$101)</f>
        <v/>
      </c>
      <c r="E8" s="22">
        <f>AVERAGEIF('키보드 원본데이터'!$D$2:$D$101, "COX", '키보드 원본데이터'!$C$2:$C$101)</f>
        <v/>
      </c>
      <c r="F8" s="22">
        <f>MINIFS('키보드 원본데이터'!$C$2:$C$101, '키보드 원본데이터'!$D$2:$D$101, "COX")</f>
        <v/>
      </c>
      <c r="G8" s="22">
        <f>MAXIFS('키보드 원본데이터'!$C$2:$C$101, '키보드 원본데이터'!$D$2:$D$101, "COX")</f>
        <v/>
      </c>
      <c r="H8" s="20">
        <f>SUMIF('키보드 원본데이터'!$D$2:$D$101, "COX", '키보드 원본데이터'!$F$2:$F$101)</f>
        <v/>
      </c>
      <c r="I8" s="23">
        <f>IF(C8&gt;0, H8/C8, 0)</f>
        <v/>
      </c>
    </row>
    <row r="9" ht="20" customHeight="1">
      <c r="B9" s="9" t="inlineStr">
        <is>
          <t>CORSAIR</t>
        </is>
      </c>
      <c r="C9" s="16">
        <f>COUNTIF('키보드 원본데이터'!$D$2:$D$101, "CORSAIR")</f>
        <v/>
      </c>
      <c r="D9" s="17">
        <f>C9/COUNTA('키보드 원본데이터'!$D$2:$D$101)</f>
        <v/>
      </c>
      <c r="E9" s="18">
        <f>AVERAGEIF('키보드 원본데이터'!$D$2:$D$101, "CORSAIR", '키보드 원본데이터'!$C$2:$C$101)</f>
        <v/>
      </c>
      <c r="F9" s="18">
        <f>MINIFS('키보드 원본데이터'!$C$2:$C$101, '키보드 원본데이터'!$D$2:$D$101, "CORSAIR")</f>
        <v/>
      </c>
      <c r="G9" s="18">
        <f>MAXIFS('키보드 원본데이터'!$C$2:$C$101, '키보드 원본데이터'!$D$2:$D$101, "CORSAIR")</f>
        <v/>
      </c>
      <c r="H9" s="16">
        <f>SUMIF('키보드 원본데이터'!$D$2:$D$101, "CORSAIR", '키보드 원본데이터'!$F$2:$F$101)</f>
        <v/>
      </c>
      <c r="I9" s="19">
        <f>IF(C9&gt;0, H9/C9, 0)</f>
        <v/>
      </c>
    </row>
    <row r="10" ht="20" customHeight="1">
      <c r="B10" s="12" t="inlineStr">
        <is>
          <t>FL-ESPORTS</t>
        </is>
      </c>
      <c r="C10" s="20">
        <f>COUNTIF('키보드 원본데이터'!$D$2:$D$101, "FL-ESPORTS")</f>
        <v/>
      </c>
      <c r="D10" s="21">
        <f>C10/COUNTA('키보드 원본데이터'!$D$2:$D$101)</f>
        <v/>
      </c>
      <c r="E10" s="22">
        <f>AVERAGEIF('키보드 원본데이터'!$D$2:$D$101, "FL-ESPORTS", '키보드 원본데이터'!$C$2:$C$101)</f>
        <v/>
      </c>
      <c r="F10" s="22">
        <f>MINIFS('키보드 원본데이터'!$C$2:$C$101, '키보드 원본데이터'!$D$2:$D$101, "FL-ESPORTS")</f>
        <v/>
      </c>
      <c r="G10" s="22">
        <f>MAXIFS('키보드 원본데이터'!$C$2:$C$101, '키보드 원본데이터'!$D$2:$D$101, "FL-ESPORTS")</f>
        <v/>
      </c>
      <c r="H10" s="20">
        <f>SUMIF('키보드 원본데이터'!$D$2:$D$101, "FL-ESPORTS", '키보드 원본데이터'!$F$2:$F$101)</f>
        <v/>
      </c>
      <c r="I10" s="23">
        <f>IF(C10&gt;0, H10/C10, 0)</f>
        <v/>
      </c>
    </row>
    <row r="11" ht="20" customHeight="1">
      <c r="B11" s="9" t="inlineStr">
        <is>
          <t>프리플로우</t>
        </is>
      </c>
      <c r="C11" s="16">
        <f>COUNTIF('키보드 원본데이터'!$D$2:$D$101, "프리플로우")</f>
        <v/>
      </c>
      <c r="D11" s="17">
        <f>C11/COUNTA('키보드 원본데이터'!$D$2:$D$101)</f>
        <v/>
      </c>
      <c r="E11" s="18">
        <f>AVERAGEIF('키보드 원본데이터'!$D$2:$D$101, "프리플로우", '키보드 원본데이터'!$C$2:$C$101)</f>
        <v/>
      </c>
      <c r="F11" s="18">
        <f>MINIFS('키보드 원본데이터'!$C$2:$C$101, '키보드 원본데이터'!$D$2:$D$101, "프리플로우")</f>
        <v/>
      </c>
      <c r="G11" s="18">
        <f>MAXIFS('키보드 원본데이터'!$C$2:$C$101, '키보드 원본데이터'!$D$2:$D$101, "프리플로우")</f>
        <v/>
      </c>
      <c r="H11" s="16">
        <f>SUMIF('키보드 원본데이터'!$D$2:$D$101, "프리플로우", '키보드 원본데이터'!$F$2:$F$101)</f>
        <v/>
      </c>
      <c r="I11" s="19">
        <f>IF(C11&gt;0, H11/C11, 0)</f>
        <v/>
      </c>
    </row>
    <row r="12" ht="20" customHeight="1">
      <c r="B12" s="12" t="inlineStr">
        <is>
          <t>darkFlash</t>
        </is>
      </c>
      <c r="C12" s="20">
        <f>COUNTIF('키보드 원본데이터'!$D$2:$D$101, "darkFlash")</f>
        <v/>
      </c>
      <c r="D12" s="21">
        <f>C12/COUNTA('키보드 원본데이터'!$D$2:$D$101)</f>
        <v/>
      </c>
      <c r="E12" s="22">
        <f>AVERAGEIF('키보드 원본데이터'!$D$2:$D$101, "darkFlash", '키보드 원본데이터'!$C$2:$C$101)</f>
        <v/>
      </c>
      <c r="F12" s="22">
        <f>MINIFS('키보드 원본데이터'!$C$2:$C$101, '키보드 원본데이터'!$D$2:$D$101, "darkFlash")</f>
        <v/>
      </c>
      <c r="G12" s="22">
        <f>MAXIFS('키보드 원본데이터'!$C$2:$C$101, '키보드 원본데이터'!$D$2:$D$101, "darkFlash")</f>
        <v/>
      </c>
      <c r="H12" s="20">
        <f>SUMIF('키보드 원본데이터'!$D$2:$D$101, "darkFlash", '키보드 원본데이터'!$F$2:$F$101)</f>
        <v/>
      </c>
      <c r="I12" s="23">
        <f>IF(C12&gt;0, H12/C12, 0)</f>
        <v/>
      </c>
    </row>
    <row r="13" ht="20" customHeight="1">
      <c r="B13" s="9" t="inlineStr">
        <is>
          <t>CHERRY</t>
        </is>
      </c>
      <c r="C13" s="16">
        <f>COUNTIF('키보드 원본데이터'!$D$2:$D$101, "CHERRY")</f>
        <v/>
      </c>
      <c r="D13" s="17">
        <f>C13/COUNTA('키보드 원본데이터'!$D$2:$D$101)</f>
        <v/>
      </c>
      <c r="E13" s="18">
        <f>AVERAGEIF('키보드 원본데이터'!$D$2:$D$101, "CHERRY", '키보드 원본데이터'!$C$2:$C$101)</f>
        <v/>
      </c>
      <c r="F13" s="18">
        <f>MINIFS('키보드 원본데이터'!$C$2:$C$101, '키보드 원본데이터'!$D$2:$D$101, "CHERRY")</f>
        <v/>
      </c>
      <c r="G13" s="18">
        <f>MAXIFS('키보드 원본데이터'!$C$2:$C$101, '키보드 원본데이터'!$D$2:$D$101, "CHERRY")</f>
        <v/>
      </c>
      <c r="H13" s="16">
        <f>SUMIF('키보드 원본데이터'!$D$2:$D$101, "CHERRY", '키보드 원본데이터'!$F$2:$F$101)</f>
        <v/>
      </c>
      <c r="I13" s="19">
        <f>IF(C13&gt;0, H13/C13, 0)</f>
        <v/>
      </c>
    </row>
    <row r="14" ht="20" customHeight="1">
      <c r="B14" s="12" t="inlineStr">
        <is>
          <t>SPM</t>
        </is>
      </c>
      <c r="C14" s="20">
        <f>COUNTIF('키보드 원본데이터'!$D$2:$D$101, "SPM")</f>
        <v/>
      </c>
      <c r="D14" s="21">
        <f>C14/COUNTA('키보드 원본데이터'!$D$2:$D$101)</f>
        <v/>
      </c>
      <c r="E14" s="22">
        <f>AVERAGEIF('키보드 원본데이터'!$D$2:$D$101, "SPM", '키보드 원본데이터'!$C$2:$C$101)</f>
        <v/>
      </c>
      <c r="F14" s="22">
        <f>MINIFS('키보드 원본데이터'!$C$2:$C$101, '키보드 원본데이터'!$D$2:$D$101, "SPM")</f>
        <v/>
      </c>
      <c r="G14" s="22">
        <f>MAXIFS('키보드 원본데이터'!$C$2:$C$101, '키보드 원본데이터'!$D$2:$D$101, "SPM")</f>
        <v/>
      </c>
      <c r="H14" s="20">
        <f>SUMIF('키보드 원본데이터'!$D$2:$D$101, "SPM", '키보드 원본데이터'!$F$2:$F$101)</f>
        <v/>
      </c>
      <c r="I14" s="23">
        <f>IF(C14&gt;0, H14/C14, 0)</f>
        <v/>
      </c>
    </row>
    <row r="15" ht="20" customHeight="1">
      <c r="B15" s="9" t="inlineStr">
        <is>
          <t>마이크로닉스</t>
        </is>
      </c>
      <c r="C15" s="16">
        <f>COUNTIF('키보드 원본데이터'!$D$2:$D$101, "마이크로닉스")</f>
        <v/>
      </c>
      <c r="D15" s="17">
        <f>C15/COUNTA('키보드 원본데이터'!$D$2:$D$101)</f>
        <v/>
      </c>
      <c r="E15" s="18">
        <f>AVERAGEIF('키보드 원본데이터'!$D$2:$D$101, "마이크로닉스", '키보드 원본데이터'!$C$2:$C$101)</f>
        <v/>
      </c>
      <c r="F15" s="18">
        <f>MINIFS('키보드 원본데이터'!$C$2:$C$101, '키보드 원본데이터'!$D$2:$D$101, "마이크로닉스")</f>
        <v/>
      </c>
      <c r="G15" s="18">
        <f>MAXIFS('키보드 원본데이터'!$C$2:$C$101, '키보드 원본데이터'!$D$2:$D$101, "마이크로닉스")</f>
        <v/>
      </c>
      <c r="H15" s="16">
        <f>SUMIF('키보드 원본데이터'!$D$2:$D$101, "마이크로닉스", '키보드 원본데이터'!$F$2:$F$101)</f>
        <v/>
      </c>
      <c r="I15" s="19">
        <f>IF(C15&gt;0, H15/C15, 0)</f>
        <v/>
      </c>
    </row>
    <row r="16" ht="20" customHeight="1">
      <c r="B16" s="12" t="inlineStr">
        <is>
          <t>한성컴퓨터</t>
        </is>
      </c>
      <c r="C16" s="20">
        <f>COUNTIF('키보드 원본데이터'!$D$2:$D$101, "한성컴퓨터")</f>
        <v/>
      </c>
      <c r="D16" s="21">
        <f>C16/COUNTA('키보드 원본데이터'!$D$2:$D$101)</f>
        <v/>
      </c>
      <c r="E16" s="22">
        <f>AVERAGEIF('키보드 원본데이터'!$D$2:$D$101, "한성컴퓨터", '키보드 원본데이터'!$C$2:$C$101)</f>
        <v/>
      </c>
      <c r="F16" s="22">
        <f>MINIFS('키보드 원본데이터'!$C$2:$C$101, '키보드 원본데이터'!$D$2:$D$101, "한성컴퓨터")</f>
        <v/>
      </c>
      <c r="G16" s="22">
        <f>MAXIFS('키보드 원본데이터'!$C$2:$C$101, '키보드 원본데이터'!$D$2:$D$101, "한성컴퓨터")</f>
        <v/>
      </c>
      <c r="H16" s="20">
        <f>SUMIF('키보드 원본데이터'!$D$2:$D$101, "한성컴퓨터", '키보드 원본데이터'!$F$2:$F$101)</f>
        <v/>
      </c>
      <c r="I16" s="23">
        <f>IF(C16&gt;0, H16/C16, 0)</f>
        <v/>
      </c>
    </row>
    <row r="17" ht="20" customHeight="1">
      <c r="B17" s="9" t="inlineStr">
        <is>
          <t>RAZER</t>
        </is>
      </c>
      <c r="C17" s="16">
        <f>COUNTIF('키보드 원본데이터'!$D$2:$D$101, "RAZER")</f>
        <v/>
      </c>
      <c r="D17" s="17">
        <f>C17/COUNTA('키보드 원본데이터'!$D$2:$D$101)</f>
        <v/>
      </c>
      <c r="E17" s="18">
        <f>AVERAGEIF('키보드 원본데이터'!$D$2:$D$101, "RAZER", '키보드 원본데이터'!$C$2:$C$101)</f>
        <v/>
      </c>
      <c r="F17" s="18">
        <f>MINIFS('키보드 원본데이터'!$C$2:$C$101, '키보드 원본데이터'!$D$2:$D$101, "RAZER")</f>
        <v/>
      </c>
      <c r="G17" s="18">
        <f>MAXIFS('키보드 원본데이터'!$C$2:$C$101, '키보드 원본데이터'!$D$2:$D$101, "RAZER")</f>
        <v/>
      </c>
      <c r="H17" s="16">
        <f>SUMIF('키보드 원본데이터'!$D$2:$D$101, "RAZER", '키보드 원본데이터'!$F$2:$F$101)</f>
        <v/>
      </c>
      <c r="I17" s="19">
        <f>IF(C17&gt;0, H17/C17, 0)</f>
        <v/>
      </c>
    </row>
    <row r="18" ht="20" customHeight="1">
      <c r="B18" s="12" t="inlineStr">
        <is>
          <t>주연테크</t>
        </is>
      </c>
      <c r="C18" s="20">
        <f>COUNTIF('키보드 원본데이터'!$D$2:$D$101, "주연테크")</f>
        <v/>
      </c>
      <c r="D18" s="21">
        <f>C18/COUNTA('키보드 원본데이터'!$D$2:$D$101)</f>
        <v/>
      </c>
      <c r="E18" s="22">
        <f>AVERAGEIF('키보드 원본데이터'!$D$2:$D$101, "주연테크", '키보드 원본데이터'!$C$2:$C$101)</f>
        <v/>
      </c>
      <c r="F18" s="22">
        <f>MINIFS('키보드 원본데이터'!$C$2:$C$101, '키보드 원본데이터'!$D$2:$D$101, "주연테크")</f>
        <v/>
      </c>
      <c r="G18" s="22">
        <f>MAXIFS('키보드 원본데이터'!$C$2:$C$101, '키보드 원본데이터'!$D$2:$D$101, "주연테크")</f>
        <v/>
      </c>
      <c r="H18" s="20">
        <f>SUMIF('키보드 원본데이터'!$D$2:$D$101, "주연테크", '키보드 원본데이터'!$F$2:$F$101)</f>
        <v/>
      </c>
      <c r="I18" s="23">
        <f>IF(C18&gt;0, H18/C18, 0)</f>
        <v/>
      </c>
    </row>
    <row r="19" ht="20" customHeight="1">
      <c r="B19" s="9" t="inlineStr">
        <is>
          <t>Nillkin</t>
        </is>
      </c>
      <c r="C19" s="16">
        <f>COUNTIF('키보드 원본데이터'!$D$2:$D$101, "Nillkin")</f>
        <v/>
      </c>
      <c r="D19" s="17">
        <f>C19/COUNTA('키보드 원본데이터'!$D$2:$D$101)</f>
        <v/>
      </c>
      <c r="E19" s="18">
        <f>AVERAGEIF('키보드 원본데이터'!$D$2:$D$101, "Nillkin", '키보드 원본데이터'!$C$2:$C$101)</f>
        <v/>
      </c>
      <c r="F19" s="18">
        <f>MINIFS('키보드 원본데이터'!$C$2:$C$101, '키보드 원본데이터'!$D$2:$D$101, "Nillkin")</f>
        <v/>
      </c>
      <c r="G19" s="18">
        <f>MAXIFS('키보드 원본데이터'!$C$2:$C$101, '키보드 원본데이터'!$D$2:$D$101, "Nillkin")</f>
        <v/>
      </c>
      <c r="H19" s="16">
        <f>SUMIF('키보드 원본데이터'!$D$2:$D$101, "Nillkin", '키보드 원본데이터'!$F$2:$F$101)</f>
        <v/>
      </c>
      <c r="I19" s="19">
        <f>IF(C19&gt;0, H19/C19, 0)</f>
        <v/>
      </c>
    </row>
    <row r="20" ht="20" customHeight="1">
      <c r="B20" s="12" t="inlineStr">
        <is>
          <t>ASUS</t>
        </is>
      </c>
      <c r="C20" s="20">
        <f>COUNTIF('키보드 원본데이터'!$D$2:$D$101, "ASUS")</f>
        <v/>
      </c>
      <c r="D20" s="21">
        <f>C20/COUNTA('키보드 원본데이터'!$D$2:$D$101)</f>
        <v/>
      </c>
      <c r="E20" s="22">
        <f>AVERAGEIF('키보드 원본데이터'!$D$2:$D$101, "ASUS", '키보드 원본데이터'!$C$2:$C$101)</f>
        <v/>
      </c>
      <c r="F20" s="22">
        <f>MINIFS('키보드 원본데이터'!$C$2:$C$101, '키보드 원본데이터'!$D$2:$D$101, "ASUS")</f>
        <v/>
      </c>
      <c r="G20" s="22">
        <f>MAXIFS('키보드 원본데이터'!$C$2:$C$101, '키보드 원본데이터'!$D$2:$D$101, "ASUS")</f>
        <v/>
      </c>
      <c r="H20" s="20">
        <f>SUMIF('키보드 원본데이터'!$D$2:$D$101, "ASUS", '키보드 원본데이터'!$F$2:$F$101)</f>
        <v/>
      </c>
      <c r="I20" s="23">
        <f>IF(C20&gt;0, H20/C20, 0)</f>
        <v/>
      </c>
    </row>
    <row r="21" ht="20" customHeight="1">
      <c r="B21" s="9" t="inlineStr">
        <is>
          <t>지클릭커</t>
        </is>
      </c>
      <c r="C21" s="16">
        <f>COUNTIF('키보드 원본데이터'!$D$2:$D$101, "지클릭커")</f>
        <v/>
      </c>
      <c r="D21" s="17">
        <f>C21/COUNTA('키보드 원본데이터'!$D$2:$D$101)</f>
        <v/>
      </c>
      <c r="E21" s="18">
        <f>AVERAGEIF('키보드 원본데이터'!$D$2:$D$101, "지클릭커", '키보드 원본데이터'!$C$2:$C$101)</f>
        <v/>
      </c>
      <c r="F21" s="18">
        <f>MINIFS('키보드 원본데이터'!$C$2:$C$101, '키보드 원본데이터'!$D$2:$D$101, "지클릭커")</f>
        <v/>
      </c>
      <c r="G21" s="18">
        <f>MAXIFS('키보드 원본데이터'!$C$2:$C$101, '키보드 원본데이터'!$D$2:$D$101, "지클릭커")</f>
        <v/>
      </c>
      <c r="H21" s="16">
        <f>SUMIF('키보드 원본데이터'!$D$2:$D$101, "지클릭커", '키보드 원본데이터'!$F$2:$F$101)</f>
        <v/>
      </c>
      <c r="I21" s="19">
        <f>IF(C21&gt;0, H21/C21, 0)</f>
        <v/>
      </c>
    </row>
    <row r="22" ht="20" customHeight="1">
      <c r="B22" s="12" t="inlineStr">
        <is>
          <t>글로리어스</t>
        </is>
      </c>
      <c r="C22" s="20">
        <f>COUNTIF('키보드 원본데이터'!$D$2:$D$101, "글로리어스")</f>
        <v/>
      </c>
      <c r="D22" s="21">
        <f>C22/COUNTA('키보드 원본데이터'!$D$2:$D$101)</f>
        <v/>
      </c>
      <c r="E22" s="22">
        <f>AVERAGEIF('키보드 원본데이터'!$D$2:$D$101, "글로리어스", '키보드 원본데이터'!$C$2:$C$101)</f>
        <v/>
      </c>
      <c r="F22" s="22">
        <f>MINIFS('키보드 원본데이터'!$C$2:$C$101, '키보드 원본데이터'!$D$2:$D$101, "글로리어스")</f>
        <v/>
      </c>
      <c r="G22" s="22">
        <f>MAXIFS('키보드 원본데이터'!$C$2:$C$101, '키보드 원본데이터'!$D$2:$D$101, "글로리어스")</f>
        <v/>
      </c>
      <c r="H22" s="20">
        <f>SUMIF('키보드 원본데이터'!$D$2:$D$101, "글로리어스", '키보드 원본데이터'!$F$2:$F$101)</f>
        <v/>
      </c>
      <c r="I22" s="23">
        <f>IF(C22&gt;0, H22/C22, 0)</f>
        <v/>
      </c>
    </row>
    <row r="23" ht="20" customHeight="1">
      <c r="B23" s="9" t="inlineStr">
        <is>
          <t>삼성전자</t>
        </is>
      </c>
      <c r="C23" s="16">
        <f>COUNTIF('키보드 원본데이터'!$D$2:$D$101, "삼성전자")</f>
        <v/>
      </c>
      <c r="D23" s="17">
        <f>C23/COUNTA('키보드 원본데이터'!$D$2:$D$101)</f>
        <v/>
      </c>
      <c r="E23" s="18">
        <f>AVERAGEIF('키보드 원본데이터'!$D$2:$D$101, "삼성전자", '키보드 원본데이터'!$C$2:$C$101)</f>
        <v/>
      </c>
      <c r="F23" s="18">
        <f>MINIFS('키보드 원본데이터'!$C$2:$C$101, '키보드 원본데이터'!$D$2:$D$101, "삼성전자")</f>
        <v/>
      </c>
      <c r="G23" s="18">
        <f>MAXIFS('키보드 원본데이터'!$C$2:$C$101, '키보드 원본데이터'!$D$2:$D$101, "삼성전자")</f>
        <v/>
      </c>
      <c r="H23" s="16">
        <f>SUMIF('키보드 원본데이터'!$D$2:$D$101, "삼성전자", '키보드 원본데이터'!$F$2:$F$101)</f>
        <v/>
      </c>
      <c r="I23" s="19">
        <f>IF(C23&gt;0, H23/C23, 0)</f>
        <v/>
      </c>
    </row>
    <row r="24" ht="20" customHeight="1">
      <c r="B24" s="12" t="inlineStr">
        <is>
          <t>MSI</t>
        </is>
      </c>
      <c r="C24" s="20">
        <f>COUNTIF('키보드 원본데이터'!$D$2:$D$101, "MSI")</f>
        <v/>
      </c>
      <c r="D24" s="21">
        <f>C24/COUNTA('키보드 원본데이터'!$D$2:$D$101)</f>
        <v/>
      </c>
      <c r="E24" s="22">
        <f>AVERAGEIF('키보드 원본데이터'!$D$2:$D$101, "MSI", '키보드 원본데이터'!$C$2:$C$101)</f>
        <v/>
      </c>
      <c r="F24" s="22">
        <f>MINIFS('키보드 원본데이터'!$C$2:$C$101, '키보드 원본데이터'!$D$2:$D$101, "MSI")</f>
        <v/>
      </c>
      <c r="G24" s="22">
        <f>MAXIFS('키보드 원본데이터'!$C$2:$C$101, '키보드 원본데이터'!$D$2:$D$101, "MSI")</f>
        <v/>
      </c>
      <c r="H24" s="20">
        <f>SUMIF('키보드 원본데이터'!$D$2:$D$101, "MSI", '키보드 원본데이터'!$F$2:$F$101)</f>
        <v/>
      </c>
      <c r="I24" s="23">
        <f>IF(C24&gt;0, H24/C24, 0)</f>
        <v/>
      </c>
    </row>
    <row r="25" ht="20" customHeight="1">
      <c r="B25" s="9" t="inlineStr">
        <is>
          <t>QSENN</t>
        </is>
      </c>
      <c r="C25" s="16">
        <f>COUNTIF('키보드 원본데이터'!$D$2:$D$101, "QSENN")</f>
        <v/>
      </c>
      <c r="D25" s="17">
        <f>C25/COUNTA('키보드 원본데이터'!$D$2:$D$101)</f>
        <v/>
      </c>
      <c r="E25" s="18">
        <f>AVERAGEIF('키보드 원본데이터'!$D$2:$D$101, "QSENN", '키보드 원본데이터'!$C$2:$C$101)</f>
        <v/>
      </c>
      <c r="F25" s="18">
        <f>MINIFS('키보드 원본데이터'!$C$2:$C$101, '키보드 원본데이터'!$D$2:$D$101, "QSENN")</f>
        <v/>
      </c>
      <c r="G25" s="18">
        <f>MAXIFS('키보드 원본데이터'!$C$2:$C$101, '키보드 원본데이터'!$D$2:$D$101, "QSENN")</f>
        <v/>
      </c>
      <c r="H25" s="16">
        <f>SUMIF('키보드 원본데이터'!$D$2:$D$101, "QSENN", '키보드 원본데이터'!$F$2:$F$101)</f>
        <v/>
      </c>
      <c r="I25" s="19">
        <f>IF(C25&gt;0, H25/C25, 0)</f>
        <v/>
      </c>
    </row>
    <row r="26" ht="22" customHeight="1">
      <c r="B26" s="24" t="inlineStr">
        <is>
          <t>합계 / 전체 평균</t>
        </is>
      </c>
      <c r="C26" s="25">
        <f>SUM(C5:C25)</f>
        <v/>
      </c>
      <c r="D26" s="26">
        <f>SUM(D5:D25)</f>
        <v/>
      </c>
      <c r="E26" s="27">
        <f>AVERAGE('키보드 원본데이터'!$C$2:$C$101)</f>
        <v/>
      </c>
      <c r="F26" s="27">
        <f>MIN('키보드 원본데이터'!$C$2:$C$101)</f>
        <v/>
      </c>
      <c r="G26" s="27">
        <f>MAX('키보드 원본데이터'!$C$2:$C$101)</f>
        <v/>
      </c>
      <c r="H26" s="25">
        <f>SUM(H5:H25)</f>
        <v/>
      </c>
      <c r="I26" s="28">
        <f>H26/C26</f>
        <v/>
      </c>
    </row>
    <row r="27"/>
    <row r="28"/>
    <row r="29">
      <c r="B29" s="15" t="inlineStr">
        <is>
          <t>2. 가격대 세그먼트별 분포 분석</t>
        </is>
      </c>
    </row>
    <row r="30"/>
    <row r="31" ht="26" customHeight="1">
      <c r="B31" s="8" t="inlineStr">
        <is>
          <t>가격대 구간</t>
        </is>
      </c>
      <c r="C31" s="8" t="inlineStr">
        <is>
          <t>제품 수</t>
        </is>
      </c>
      <c r="D31" s="8" t="inlineStr">
        <is>
          <t>비중</t>
        </is>
      </c>
      <c r="E31" s="8" t="inlineStr">
        <is>
          <t>평균 가격</t>
        </is>
      </c>
      <c r="F31" s="8" t="inlineStr">
        <is>
          <t>누적 리뷰</t>
        </is>
      </c>
      <c r="G31" s="8" t="inlineStr">
        <is>
          <t>주요 포지셔닝 및 타겟층</t>
        </is>
      </c>
    </row>
    <row r="32" ht="20" customHeight="1">
      <c r="B32" s="12" t="inlineStr">
        <is>
          <t>3만원 미만</t>
        </is>
      </c>
      <c r="C32" s="20">
        <f>COUNTIF('키보드 원본데이터'!$C$2:$C$101, "&lt;30000")</f>
        <v/>
      </c>
      <c r="D32" s="21">
        <f>C32/COUNTA('키보드 원본데이터'!$C$2:$C$101)</f>
        <v/>
      </c>
      <c r="E32" s="22">
        <f>AVERAGEIF('키보드 원본데이터'!$C$2:$C$101, "&lt;30000")</f>
        <v/>
      </c>
      <c r="F32" s="20">
        <f>SUMIF('키보드 원본데이터'!$C$2:$C$101, "&lt;30000", '키보드 원본데이터'!$F$2:$F$101)</f>
        <v/>
      </c>
      <c r="G32" s="29" t="inlineStr">
        <is>
          <t>초가성비 사무용 / 보급형 멤브레인 &amp; 무선 콤보</t>
        </is>
      </c>
    </row>
    <row r="33" ht="20" customHeight="1">
      <c r="B33" s="9" t="inlineStr">
        <is>
          <t>3만원 ~ 7만원 미만</t>
        </is>
      </c>
      <c r="C33" s="16">
        <f>COUNTIFS('키보드 원본데이터'!$C$2:$C$101, "&gt;=30000", '키보드 원본데이터'!$C$2:$C$101, "&lt;70000")</f>
        <v/>
      </c>
      <c r="D33" s="17">
        <f>C33/COUNTA('키보드 원본데이터'!$C$2:$C$101)</f>
        <v/>
      </c>
      <c r="E33" s="18">
        <f>AVERAGEIFS('키보드 원본데이터'!$C$2:$C$101, '키보드 원본데이터'!$C$2:$C$101, "&gt;=30000", '키보드 원본데이터'!$C$2:$C$101, "&lt;70000")</f>
        <v/>
      </c>
      <c r="F33" s="16">
        <f>SUMIFS('키보드 원본데이터'!$F$2:$F$101, '키보드 원본데이터'!$C$2:$C$101, "&gt;=30000", '키보드 원본데이터'!$C$2:$C$101, "&lt;70000")</f>
        <v/>
      </c>
      <c r="G33" s="30" t="inlineStr">
        <is>
          <t>입문용 기계식 / 블루투스 멀티페어링 슬림 키보드</t>
        </is>
      </c>
    </row>
    <row r="34" ht="20" customHeight="1">
      <c r="B34" s="12" t="inlineStr">
        <is>
          <t>7만원 ~ 12만원 미만</t>
        </is>
      </c>
      <c r="C34" s="20">
        <f>COUNTIFS('키보드 원본데이터'!$C$2:$C$101, "&gt;=70000", '키보드 원본데이터'!$C$2:$C$101, "&lt;120000")</f>
        <v/>
      </c>
      <c r="D34" s="21">
        <f>C34/COUNTA('키보드 원본데이터'!$C$2:$C$101)</f>
        <v/>
      </c>
      <c r="E34" s="22">
        <f>AVERAGEIFS('키보드 원본데이터'!$C$2:$C$101, '키보드 원본데이터'!$C$2:$C$101, "&gt;=70000", '키보드 원본데이터'!$C$2:$C$101, "&lt;120000")</f>
        <v/>
      </c>
      <c r="F34" s="20">
        <f>SUMIFS('키보드 원본데이터'!$F$2:$F$101, '키보드 원본데이터'!$C$2:$C$101, "&gt;=70000", '키보드 원본데이터'!$C$2:$C$101, "&lt;120000")</f>
        <v/>
      </c>
      <c r="G34" s="29" t="inlineStr">
        <is>
          <t>중급 커스텀 기계식 (가스켓 마운트, 저소음 특화)</t>
        </is>
      </c>
    </row>
    <row r="35" ht="20" customHeight="1">
      <c r="B35" s="9" t="inlineStr">
        <is>
          <t>12만원 ~ 20만원 미만</t>
        </is>
      </c>
      <c r="C35" s="16">
        <f>COUNTIFS('키보드 원본데이터'!$C$2:$C$101, "&gt;=120000", '키보드 원본데이터'!$C$2:$C$101, "&lt;200000")</f>
        <v/>
      </c>
      <c r="D35" s="17">
        <f>C35/COUNTA('키보드 원본데이터'!$C$2:$C$101)</f>
        <v/>
      </c>
      <c r="E35" s="18">
        <f>AVERAGEIFS('키보드 원본데이터'!$C$2:$C$101, '키보드 원본데이터'!$C$2:$C$101, "&gt;=120000", '키보드 원본데이터'!$C$2:$C$101, "&lt;200000")</f>
        <v/>
      </c>
      <c r="F35" s="16">
        <f>SUMIFS('키보드 원본데이터'!$F$2:$F$101, '키보드 원본데이터'!$C$2:$C$101, "&gt;=120000", '키보드 원본데이터'!$C$2:$C$101, "&lt;200000")</f>
        <v/>
      </c>
      <c r="G35" s="30" t="inlineStr">
        <is>
          <t>프리미엄 사무용 (로지텍 MX Keys 등) / 체리 정품</t>
        </is>
      </c>
    </row>
    <row r="36" ht="20" customHeight="1">
      <c r="B36" s="12" t="inlineStr">
        <is>
          <t>20만원 이상</t>
        </is>
      </c>
      <c r="C36" s="20">
        <f>COUNTIF('키보드 원본데이터'!$C$2:$C$101, "&gt;=200000")</f>
        <v/>
      </c>
      <c r="D36" s="21">
        <f>C36/COUNTA('키보드 원본데이터'!$C$2:$C$101)</f>
        <v/>
      </c>
      <c r="E36" s="22">
        <f>AVERAGEIF('키보드 원본데이터'!$C$2:$C$101, "&gt;=200000")</f>
        <v/>
      </c>
      <c r="F36" s="20">
        <f>SUMIF('키보드 원본데이터'!$C$2:$C$101, "&gt;=200000", '키보드 원본데이터'!$F$2:$F$101)</f>
        <v/>
      </c>
      <c r="G36" s="29" t="inlineStr">
        <is>
          <t>플래그십 e스포츠 게이밍 (자석축, 래피드 트리거)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2"/>
  <sheetViews>
    <sheetView showGridLines="1" workbookViewId="0">
      <selection activeCell="A1" sqref="A1"/>
    </sheetView>
  </sheetViews>
  <sheetFormatPr baseColWidth="8" defaultRowHeight="15"/>
  <cols>
    <col width="3" customWidth="1" min="1" max="1"/>
    <col width="20" customWidth="1" min="2" max="2"/>
    <col width="65" customWidth="1" min="3" max="3"/>
    <col width="104" customWidth="1" min="4" max="4"/>
    <col width="101" customWidth="1" min="5" max="5"/>
    <col width="101" customWidth="1" min="6" max="6"/>
    <col width="96" customWidth="1" min="7" max="7"/>
  </cols>
  <sheetData>
    <row r="1"/>
    <row r="2">
      <c r="B2" s="15" t="inlineStr">
        <is>
          <t>1. 연결 방식별 시장 통계</t>
        </is>
      </c>
    </row>
    <row r="3"/>
    <row r="4" ht="26" customHeight="1">
      <c r="B4" s="8" t="inlineStr">
        <is>
          <t>연결 방식</t>
        </is>
      </c>
      <c r="C4" s="8" t="inlineStr">
        <is>
          <t>제품 수</t>
        </is>
      </c>
      <c r="D4" s="8" t="inlineStr">
        <is>
          <t>비중</t>
        </is>
      </c>
      <c r="E4" s="8" t="inlineStr">
        <is>
          <t>평균 가격</t>
        </is>
      </c>
      <c r="F4" s="8" t="inlineStr">
        <is>
          <t>중앙 가격</t>
        </is>
      </c>
      <c r="G4" s="8" t="inlineStr">
        <is>
          <t>누적 리뷰 수</t>
        </is>
      </c>
    </row>
    <row r="5" ht="20" customHeight="1">
      <c r="B5" s="9" t="inlineStr">
        <is>
          <t>유선</t>
        </is>
      </c>
      <c r="C5" s="16">
        <f>COUNTIF('키보드 원본데이터'!$E$2:$E$101, "유선")</f>
        <v/>
      </c>
      <c r="D5" s="17">
        <f>C5/COUNTA('키보드 원본데이터'!$E$2:$E$101)</f>
        <v/>
      </c>
      <c r="E5" s="18">
        <f>AVERAGEIF('키보드 원본데이터'!$E$2:$E$101, "유선", '키보드 원본데이터'!$C$2:$C$101)</f>
        <v/>
      </c>
      <c r="F5" s="18">
        <f>MEDIAN(IF('키보드 원본데이터'!$E$2:$E$101="유선", '키보드 원본데이터'!$C$2:$C$101))</f>
        <v/>
      </c>
      <c r="G5" s="16">
        <f>SUMIF('키보드 원본데이터'!$E$2:$E$101, "유선", '키보드 원본데이터'!$F$2:$F$101)</f>
        <v/>
      </c>
    </row>
    <row r="6" ht="20" customHeight="1">
      <c r="B6" s="12" t="inlineStr">
        <is>
          <t>유선+무선</t>
        </is>
      </c>
      <c r="C6" s="20">
        <f>COUNTIF('키보드 원본데이터'!$E$2:$E$101, "유선+무선")</f>
        <v/>
      </c>
      <c r="D6" s="21">
        <f>C6/COUNTA('키보드 원본데이터'!$E$2:$E$101)</f>
        <v/>
      </c>
      <c r="E6" s="22">
        <f>AVERAGEIF('키보드 원본데이터'!$E$2:$E$101, "유선+무선", '키보드 원본데이터'!$C$2:$C$101)</f>
        <v/>
      </c>
      <c r="F6" s="22">
        <f>MEDIAN(IF('키보드 원본데이터'!$E$2:$E$101="유선+무선", '키보드 원본데이터'!$C$2:$C$101))</f>
        <v/>
      </c>
      <c r="G6" s="20">
        <f>SUMIF('키보드 원본데이터'!$E$2:$E$101, "유선+무선", '키보드 원본데이터'!$F$2:$F$101)</f>
        <v/>
      </c>
    </row>
    <row r="7" ht="20" customHeight="1">
      <c r="B7" s="9" t="inlineStr">
        <is>
          <t>무선</t>
        </is>
      </c>
      <c r="C7" s="16">
        <f>COUNTIF('키보드 원본데이터'!$E$2:$E$101, "무선")</f>
        <v/>
      </c>
      <c r="D7" s="17">
        <f>C7/COUNTA('키보드 원본데이터'!$E$2:$E$101)</f>
        <v/>
      </c>
      <c r="E7" s="18">
        <f>AVERAGEIF('키보드 원본데이터'!$E$2:$E$101, "무선", '키보드 원본데이터'!$C$2:$C$101)</f>
        <v/>
      </c>
      <c r="F7" s="18">
        <f>MEDIAN(IF('키보드 원본데이터'!$E$2:$E$101="무선", '키보드 원본데이터'!$C$2:$C$101))</f>
        <v/>
      </c>
      <c r="G7" s="16">
        <f>SUMIF('키보드 원본데이터'!$E$2:$E$101, "무선", '키보드 원본데이터'!$F$2:$F$101)</f>
        <v/>
      </c>
    </row>
    <row r="8" ht="20" customHeight="1">
      <c r="B8" s="12" t="inlineStr">
        <is>
          <t>미분류</t>
        </is>
      </c>
      <c r="C8" s="20">
        <f>COUNTIF('키보드 원본데이터'!$E$2:$E$101, "미분류")</f>
        <v/>
      </c>
      <c r="D8" s="21">
        <f>C8/COUNTA('키보드 원본데이터'!$E$2:$E$101)</f>
        <v/>
      </c>
      <c r="E8" s="22">
        <f>AVERAGEIF('키보드 원본데이터'!$E$2:$E$101, "미분류", '키보드 원본데이터'!$C$2:$C$101)</f>
        <v/>
      </c>
      <c r="F8" s="22">
        <f>MEDIAN(IF('키보드 원본데이터'!$E$2:$E$101="미분류", '키보드 원본데이터'!$C$2:$C$101))</f>
        <v/>
      </c>
      <c r="G8" s="20">
        <f>SUMIF('키보드 원본데이터'!$E$2:$E$101, "미분류", '키보드 원본데이터'!$F$2:$F$101)</f>
        <v/>
      </c>
    </row>
    <row r="9"/>
    <row r="10"/>
    <row r="11"/>
    <row r="12">
      <c r="B12" s="15" t="inlineStr">
        <is>
          <t>2. 기계식 스위치/축 유형별 세부 분석</t>
        </is>
      </c>
    </row>
    <row r="13"/>
    <row r="14" ht="26" customHeight="1">
      <c r="B14" s="8" t="inlineStr">
        <is>
          <t>스위치/축 명칭</t>
        </is>
      </c>
      <c r="C14" s="8" t="inlineStr">
        <is>
          <t>제품 수</t>
        </is>
      </c>
      <c r="D14" s="8" t="inlineStr">
        <is>
          <t>평균 가격</t>
        </is>
      </c>
      <c r="E14" s="8" t="inlineStr">
        <is>
          <t>최저 가격</t>
        </is>
      </c>
      <c r="F14" s="8" t="inlineStr">
        <is>
          <t>최고 가격</t>
        </is>
      </c>
      <c r="G14" s="8" t="inlineStr">
        <is>
          <t>누적 리뷰 수</t>
        </is>
      </c>
    </row>
    <row r="15" ht="20" customHeight="1">
      <c r="B15" s="9" t="inlineStr">
        <is>
          <t>적축</t>
        </is>
      </c>
      <c r="C15" s="16">
        <f>COUNTIF('키보드 원본데이터'!$G$2:$G$101, "적축")</f>
        <v/>
      </c>
      <c r="D15" s="18">
        <f>AVERAGEIF('키보드 원본데이터'!$G$2:$G$101, "적축", '키보드 원본데이터'!$C$2:$C$101)</f>
        <v/>
      </c>
      <c r="E15" s="18">
        <f>MINIFS('키보드 원본데이터'!$C$2:$C$101, '키보드 원본데이터'!$G$2:$G$101, "적축")</f>
        <v/>
      </c>
      <c r="F15" s="18">
        <f>MAXIFS('키보드 원본데이터'!$C$2:$C$101, '키보드 원본데이터'!$G$2:$G$101, "적축")</f>
        <v/>
      </c>
      <c r="G15" s="16">
        <f>SUMIF('키보드 원본데이터'!$G$2:$G$101, "적축", '키보드 원본데이터'!$F$2:$F$101)</f>
        <v/>
      </c>
    </row>
    <row r="16" ht="20" customHeight="1">
      <c r="B16" s="12" t="inlineStr">
        <is>
          <t>저소음 바다축</t>
        </is>
      </c>
      <c r="C16" s="20">
        <f>COUNTIF('키보드 원본데이터'!$G$2:$G$101, "저소음 바다축")</f>
        <v/>
      </c>
      <c r="D16" s="22">
        <f>AVERAGEIF('키보드 원본데이터'!$G$2:$G$101, "저소음 바다축", '키보드 원본데이터'!$C$2:$C$101)</f>
        <v/>
      </c>
      <c r="E16" s="22">
        <f>MINIFS('키보드 원본데이터'!$C$2:$C$101, '키보드 원본데이터'!$G$2:$G$101, "저소음 바다축")</f>
        <v/>
      </c>
      <c r="F16" s="22">
        <f>MAXIFS('키보드 원본데이터'!$C$2:$C$101, '키보드 원본데이터'!$G$2:$G$101, "저소음 바다축")</f>
        <v/>
      </c>
      <c r="G16" s="20">
        <f>SUMIF('키보드 원본데이터'!$G$2:$G$101, "저소음 바다축", '키보드 원본데이터'!$F$2:$F$101)</f>
        <v/>
      </c>
    </row>
    <row r="17" ht="20" customHeight="1">
      <c r="B17" s="9" t="inlineStr">
        <is>
          <t>갈축</t>
        </is>
      </c>
      <c r="C17" s="16">
        <f>COUNTIF('키보드 원본데이터'!$G$2:$G$101, "갈축")</f>
        <v/>
      </c>
      <c r="D17" s="18">
        <f>AVERAGEIF('키보드 원본데이터'!$G$2:$G$101, "갈축", '키보드 원본데이터'!$C$2:$C$101)</f>
        <v/>
      </c>
      <c r="E17" s="18">
        <f>MINIFS('키보드 원본데이터'!$C$2:$C$101, '키보드 원본데이터'!$G$2:$G$101, "갈축")</f>
        <v/>
      </c>
      <c r="F17" s="18">
        <f>MAXIFS('키보드 원본데이터'!$C$2:$C$101, '키보드 원본데이터'!$G$2:$G$101, "갈축")</f>
        <v/>
      </c>
      <c r="G17" s="16">
        <f>SUMIF('키보드 원본데이터'!$G$2:$G$101, "갈축", '키보드 원본데이터'!$F$2:$F$101)</f>
        <v/>
      </c>
    </row>
    <row r="18" ht="20" customHeight="1">
      <c r="B18" s="12" t="inlineStr">
        <is>
          <t>저소음 피치축 V2</t>
        </is>
      </c>
      <c r="C18" s="20">
        <f>COUNTIF('키보드 원본데이터'!$G$2:$G$101, "저소음 피치축 V2")</f>
        <v/>
      </c>
      <c r="D18" s="22">
        <f>AVERAGEIF('키보드 원본데이터'!$G$2:$G$101, "저소음 피치축 V2", '키보드 원본데이터'!$C$2:$C$101)</f>
        <v/>
      </c>
      <c r="E18" s="22">
        <f>MINIFS('키보드 원본데이터'!$C$2:$C$101, '키보드 원본데이터'!$G$2:$G$101, "저소음 피치축 V2")</f>
        <v/>
      </c>
      <c r="F18" s="22">
        <f>MAXIFS('키보드 원본데이터'!$C$2:$C$101, '키보드 원본데이터'!$G$2:$G$101, "저소음 피치축 V2")</f>
        <v/>
      </c>
      <c r="G18" s="20">
        <f>SUMIF('키보드 원본데이터'!$G$2:$G$101, "저소음 피치축 V2", '키보드 원본데이터'!$F$2:$F$101)</f>
        <v/>
      </c>
    </row>
    <row r="19" ht="20" customHeight="1">
      <c r="B19" s="9" t="inlineStr">
        <is>
          <t>레몬축</t>
        </is>
      </c>
      <c r="C19" s="16">
        <f>COUNTIF('키보드 원본데이터'!$G$2:$G$101, "레몬축")</f>
        <v/>
      </c>
      <c r="D19" s="18">
        <f>AVERAGEIF('키보드 원본데이터'!$G$2:$G$101, "레몬축", '키보드 원본데이터'!$C$2:$C$101)</f>
        <v/>
      </c>
      <c r="E19" s="18">
        <f>MINIFS('키보드 원본데이터'!$C$2:$C$101, '키보드 원본데이터'!$G$2:$G$101, "레몬축")</f>
        <v/>
      </c>
      <c r="F19" s="18">
        <f>MAXIFS('키보드 원본데이터'!$C$2:$C$101, '키보드 원본데이터'!$G$2:$G$101, "레몬축")</f>
        <v/>
      </c>
      <c r="G19" s="16">
        <f>SUMIF('키보드 원본데이터'!$G$2:$G$101, "레몬축", '키보드 원본데이터'!$F$2:$F$101)</f>
        <v/>
      </c>
    </row>
    <row r="20" ht="20" customHeight="1">
      <c r="B20" s="12" t="inlineStr">
        <is>
          <t>광축</t>
        </is>
      </c>
      <c r="C20" s="20">
        <f>COUNTIF('키보드 원본데이터'!$G$2:$G$101, "광축")</f>
        <v/>
      </c>
      <c r="D20" s="22">
        <f>AVERAGEIF('키보드 원본데이터'!$G$2:$G$101, "광축", '키보드 원본데이터'!$C$2:$C$101)</f>
        <v/>
      </c>
      <c r="E20" s="22">
        <f>MINIFS('키보드 원본데이터'!$C$2:$C$101, '키보드 원본데이터'!$G$2:$G$101, "광축")</f>
        <v/>
      </c>
      <c r="F20" s="22">
        <f>MAXIFS('키보드 원본데이터'!$C$2:$C$101, '키보드 원본데이터'!$G$2:$G$101, "광축")</f>
        <v/>
      </c>
      <c r="G20" s="20">
        <f>SUMIF('키보드 원본데이터'!$G$2:$G$101, "광축", '키보드 원본데이터'!$F$2:$F$101)</f>
        <v/>
      </c>
    </row>
    <row r="21" ht="20" customHeight="1">
      <c r="B21" s="9" t="inlineStr">
        <is>
          <t>저소음 스톰축</t>
        </is>
      </c>
      <c r="C21" s="16">
        <f>COUNTIF('키보드 원본데이터'!$G$2:$G$101, "저소음 스톰축")</f>
        <v/>
      </c>
      <c r="D21" s="18">
        <f>AVERAGEIF('키보드 원본데이터'!$G$2:$G$101, "저소음 스톰축", '키보드 원본데이터'!$C$2:$C$101)</f>
        <v/>
      </c>
      <c r="E21" s="18">
        <f>MINIFS('키보드 원본데이터'!$C$2:$C$101, '키보드 원본데이터'!$G$2:$G$101, "저소음 스톰축")</f>
        <v/>
      </c>
      <c r="F21" s="18">
        <f>MAXIFS('키보드 원본데이터'!$C$2:$C$101, '키보드 원본데이터'!$G$2:$G$101, "저소음 스톰축")</f>
        <v/>
      </c>
      <c r="G21" s="16">
        <f>SUMIF('키보드 원본데이터'!$G$2:$G$101, "저소음 스톰축", '키보드 원본데이터'!$F$2:$F$101)</f>
        <v/>
      </c>
    </row>
    <row r="22" ht="20" customHeight="1">
      <c r="B22" s="12" t="inlineStr">
        <is>
          <t>저소음 솜사탕축</t>
        </is>
      </c>
      <c r="C22" s="20">
        <f>COUNTIF('키보드 원본데이터'!$G$2:$G$101, "저소음 솜사탕축")</f>
        <v/>
      </c>
      <c r="D22" s="22">
        <f>AVERAGEIF('키보드 원본데이터'!$G$2:$G$101, "저소음 솜사탕축", '키보드 원본데이터'!$C$2:$C$101)</f>
        <v/>
      </c>
      <c r="E22" s="22">
        <f>MINIFS('키보드 원본데이터'!$C$2:$C$101, '키보드 원본데이터'!$G$2:$G$101, "저소음 솜사탕축")</f>
        <v/>
      </c>
      <c r="F22" s="22">
        <f>MAXIFS('키보드 원본데이터'!$C$2:$C$101, '키보드 원본데이터'!$G$2:$G$101, "저소음 솜사탕축")</f>
        <v/>
      </c>
      <c r="G22" s="20">
        <f>SUMIF('키보드 원본데이터'!$G$2:$G$101, "저소음 솜사탕축", '키보드 원본데이터'!$F$2:$F$101)</f>
        <v/>
      </c>
    </row>
    <row r="23" ht="20" customHeight="1">
      <c r="B23" s="9" t="inlineStr">
        <is>
          <t>SNOW축</t>
        </is>
      </c>
      <c r="C23" s="16">
        <f>COUNTIF('키보드 원본데이터'!$G$2:$G$101, "SNOW축")</f>
        <v/>
      </c>
      <c r="D23" s="18">
        <f>AVERAGEIF('키보드 원본데이터'!$G$2:$G$101, "SNOW축", '키보드 원본데이터'!$C$2:$C$101)</f>
        <v/>
      </c>
      <c r="E23" s="18">
        <f>MINIFS('키보드 원본데이터'!$C$2:$C$101, '키보드 원본데이터'!$G$2:$G$101, "SNOW축")</f>
        <v/>
      </c>
      <c r="F23" s="18">
        <f>MAXIFS('키보드 원본데이터'!$C$2:$C$101, '키보드 원본데이터'!$G$2:$G$101, "SNOW축")</f>
        <v/>
      </c>
      <c r="G23" s="16">
        <f>SUMIF('키보드 원본데이터'!$G$2:$G$101, "SNOW축", '키보드 원본데이터'!$F$2:$F$101)</f>
        <v/>
      </c>
    </row>
    <row r="24" ht="20" customHeight="1">
      <c r="B24" s="12" t="inlineStr">
        <is>
          <t>저소음 바다소금축</t>
        </is>
      </c>
      <c r="C24" s="20">
        <f>COUNTIF('키보드 원본데이터'!$G$2:$G$101, "저소음 바다소금축")</f>
        <v/>
      </c>
      <c r="D24" s="22">
        <f>AVERAGEIF('키보드 원본데이터'!$G$2:$G$101, "저소음 바다소금축", '키보드 원본데이터'!$C$2:$C$101)</f>
        <v/>
      </c>
      <c r="E24" s="22">
        <f>MINIFS('키보드 원본데이터'!$C$2:$C$101, '키보드 원본데이터'!$G$2:$G$101, "저소음 바다소금축")</f>
        <v/>
      </c>
      <c r="F24" s="22">
        <f>MAXIFS('키보드 원본데이터'!$C$2:$C$101, '키보드 원본데이터'!$G$2:$G$101, "저소음 바다소금축")</f>
        <v/>
      </c>
      <c r="G24" s="20">
        <f>SUMIF('키보드 원본데이터'!$G$2:$G$101, "저소음 바다소금축", '키보드 원본데이터'!$F$2:$F$101)</f>
        <v/>
      </c>
    </row>
    <row r="25" ht="20" customHeight="1">
      <c r="B25" s="9" t="inlineStr">
        <is>
          <t>멜론축</t>
        </is>
      </c>
      <c r="C25" s="16">
        <f>COUNTIF('키보드 원본데이터'!$G$2:$G$101, "멜론축")</f>
        <v/>
      </c>
      <c r="D25" s="18">
        <f>AVERAGEIF('키보드 원본데이터'!$G$2:$G$101, "멜론축", '키보드 원본데이터'!$C$2:$C$101)</f>
        <v/>
      </c>
      <c r="E25" s="18">
        <f>MINIFS('키보드 원본데이터'!$C$2:$C$101, '키보드 원본데이터'!$G$2:$G$101, "멜론축")</f>
        <v/>
      </c>
      <c r="F25" s="18">
        <f>MAXIFS('키보드 원본데이터'!$C$2:$C$101, '키보드 원본데이터'!$G$2:$G$101, "멜론축")</f>
        <v/>
      </c>
      <c r="G25" s="16">
        <f>SUMIF('키보드 원본데이터'!$G$2:$G$101, "멜론축", '키보드 원본데이터'!$F$2:$F$101)</f>
        <v/>
      </c>
    </row>
    <row r="26" ht="20" customHeight="1">
      <c r="B26" s="12" t="inlineStr">
        <is>
          <t>마그네틱축</t>
        </is>
      </c>
      <c r="C26" s="20">
        <f>COUNTIF('키보드 원본데이터'!$G$2:$G$101, "마그네틱축")</f>
        <v/>
      </c>
      <c r="D26" s="22">
        <f>AVERAGEIF('키보드 원본데이터'!$G$2:$G$101, "마그네틱축", '키보드 원본데이터'!$C$2:$C$101)</f>
        <v/>
      </c>
      <c r="E26" s="22">
        <f>MINIFS('키보드 원본데이터'!$C$2:$C$101, '키보드 원본데이터'!$G$2:$G$101, "마그네틱축")</f>
        <v/>
      </c>
      <c r="F26" s="22">
        <f>MAXIFS('키보드 원본데이터'!$C$2:$C$101, '키보드 원본데이터'!$G$2:$G$101, "마그네틱축")</f>
        <v/>
      </c>
      <c r="G26" s="20">
        <f>SUMIF('키보드 원본데이터'!$G$2:$G$101, "마그네틱축", '키보드 원본데이터'!$F$2:$F$101)</f>
        <v/>
      </c>
    </row>
    <row r="27" ht="20" customHeight="1">
      <c r="B27" s="9" t="inlineStr">
        <is>
          <t>저소음 피치축</t>
        </is>
      </c>
      <c r="C27" s="16">
        <f>COUNTIF('키보드 원본데이터'!$G$2:$G$101, "저소음 피치축")</f>
        <v/>
      </c>
      <c r="D27" s="18">
        <f>AVERAGEIF('키보드 원본데이터'!$G$2:$G$101, "저소음 피치축", '키보드 원본데이터'!$C$2:$C$101)</f>
        <v/>
      </c>
      <c r="E27" s="18">
        <f>MINIFS('키보드 원본데이터'!$C$2:$C$101, '키보드 원본데이터'!$G$2:$G$101, "저소음 피치축")</f>
        <v/>
      </c>
      <c r="F27" s="18">
        <f>MAXIFS('키보드 원본데이터'!$C$2:$C$101, '키보드 원본데이터'!$G$2:$G$101, "저소음 피치축")</f>
        <v/>
      </c>
      <c r="G27" s="16">
        <f>SUMIF('키보드 원본데이터'!$G$2:$G$101, "저소음 피치축", '키보드 원본데이터'!$F$2:$F$101)</f>
        <v/>
      </c>
    </row>
    <row r="28" ht="20" customHeight="1">
      <c r="B28" s="12" t="inlineStr">
        <is>
          <t>햇살축</t>
        </is>
      </c>
      <c r="C28" s="20">
        <f>COUNTIF('키보드 원본데이터'!$G$2:$G$101, "햇살축")</f>
        <v/>
      </c>
      <c r="D28" s="22">
        <f>AVERAGEIF('키보드 원본데이터'!$G$2:$G$101, "햇살축", '키보드 원본데이터'!$C$2:$C$101)</f>
        <v/>
      </c>
      <c r="E28" s="22">
        <f>MINIFS('키보드 원본데이터'!$C$2:$C$101, '키보드 원본데이터'!$G$2:$G$101, "햇살축")</f>
        <v/>
      </c>
      <c r="F28" s="22">
        <f>MAXIFS('키보드 원본데이터'!$C$2:$C$101, '키보드 원본데이터'!$G$2:$G$101, "햇살축")</f>
        <v/>
      </c>
      <c r="G28" s="20">
        <f>SUMIF('키보드 원본데이터'!$G$2:$G$101, "햇살축", '키보드 원본데이터'!$F$2:$F$101)</f>
        <v/>
      </c>
    </row>
    <row r="29" ht="20" customHeight="1">
      <c r="B29" s="9" t="inlineStr">
        <is>
          <t>청축</t>
        </is>
      </c>
      <c r="C29" s="16">
        <f>COUNTIF('키보드 원본데이터'!$G$2:$G$101, "청축")</f>
        <v/>
      </c>
      <c r="D29" s="18">
        <f>AVERAGEIF('키보드 원본데이터'!$G$2:$G$101, "청축", '키보드 원본데이터'!$C$2:$C$101)</f>
        <v/>
      </c>
      <c r="E29" s="18">
        <f>MINIFS('키보드 원본데이터'!$C$2:$C$101, '키보드 원본데이터'!$G$2:$G$101, "청축")</f>
        <v/>
      </c>
      <c r="F29" s="18">
        <f>MAXIFS('키보드 원본데이터'!$C$2:$C$101, '키보드 원본데이터'!$G$2:$G$101, "청축")</f>
        <v/>
      </c>
      <c r="G29" s="16">
        <f>SUMIF('키보드 원본데이터'!$G$2:$G$101, "청축", '키보드 원본데이터'!$F$2:$F$101)</f>
        <v/>
      </c>
    </row>
    <row r="30" ht="20" customHeight="1">
      <c r="B30" s="12" t="inlineStr">
        <is>
          <t>저소음 파도축</t>
        </is>
      </c>
      <c r="C30" s="20">
        <f>COUNTIF('키보드 원본데이터'!$G$2:$G$101, "저소음 파도축")</f>
        <v/>
      </c>
      <c r="D30" s="22">
        <f>AVERAGEIF('키보드 원본데이터'!$G$2:$G$101, "저소음 파도축", '키보드 원본데이터'!$C$2:$C$101)</f>
        <v/>
      </c>
      <c r="E30" s="22">
        <f>MINIFS('키보드 원본데이터'!$C$2:$C$101, '키보드 원본데이터'!$G$2:$G$101, "저소음 파도축")</f>
        <v/>
      </c>
      <c r="F30" s="22">
        <f>MAXIFS('키보드 원본데이터'!$C$2:$C$101, '키보드 원본데이터'!$G$2:$G$101, "저소음 파도축")</f>
        <v/>
      </c>
      <c r="G30" s="20">
        <f>SUMIF('키보드 원본데이터'!$G$2:$G$101, "저소음 파도축", '키보드 원본데이터'!$F$2:$F$101)</f>
        <v/>
      </c>
    </row>
    <row r="31" ht="20" customHeight="1">
      <c r="B31" s="9" t="inlineStr">
        <is>
          <t>소복눈축</t>
        </is>
      </c>
      <c r="C31" s="16">
        <f>COUNTIF('키보드 원본데이터'!$G$2:$G$101, "소복눈축")</f>
        <v/>
      </c>
      <c r="D31" s="18">
        <f>AVERAGEIF('키보드 원본데이터'!$G$2:$G$101, "소복눈축", '키보드 원본데이터'!$C$2:$C$101)</f>
        <v/>
      </c>
      <c r="E31" s="18">
        <f>MINIFS('키보드 원본데이터'!$C$2:$C$101, '키보드 원본데이터'!$G$2:$G$101, "소복눈축")</f>
        <v/>
      </c>
      <c r="F31" s="18">
        <f>MAXIFS('키보드 원본데이터'!$C$2:$C$101, '키보드 원본데이터'!$G$2:$G$101, "소복눈축")</f>
        <v/>
      </c>
      <c r="G31" s="16">
        <f>SUMIF('키보드 원본데이터'!$G$2:$G$101, "소복눈축", '키보드 원본데이터'!$F$2:$F$101)</f>
        <v/>
      </c>
    </row>
    <row r="32" ht="20" customHeight="1">
      <c r="B32" s="12" t="inlineStr">
        <is>
          <t>세이야축</t>
        </is>
      </c>
      <c r="C32" s="20">
        <f>COUNTIF('키보드 원본데이터'!$G$2:$G$101, "세이야축")</f>
        <v/>
      </c>
      <c r="D32" s="22">
        <f>AVERAGEIF('키보드 원본데이터'!$G$2:$G$101, "세이야축", '키보드 원본데이터'!$C$2:$C$101)</f>
        <v/>
      </c>
      <c r="E32" s="22">
        <f>MINIFS('키보드 원본데이터'!$C$2:$C$101, '키보드 원본데이터'!$G$2:$G$101, "세이야축")</f>
        <v/>
      </c>
      <c r="F32" s="22">
        <f>MAXIFS('키보드 원본데이터'!$C$2:$C$101, '키보드 원본데이터'!$G$2:$G$101, "세이야축")</f>
        <v/>
      </c>
      <c r="G32" s="20">
        <f>SUMIF('키보드 원본데이터'!$G$2:$G$101, "세이야축", '키보드 원본데이터'!$F$2:$F$101)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01"/>
  <sheetViews>
    <sheetView showGridLines="1" workbookViewId="0">
      <selection activeCell="A1" sqref="A1"/>
    </sheetView>
  </sheetViews>
  <sheetFormatPr baseColWidth="8" defaultRowHeight="15"/>
  <cols>
    <col width="11" customWidth="1" min="1" max="1"/>
    <col width="62" customWidth="1" min="2" max="2"/>
    <col width="15" customWidth="1" min="3" max="3"/>
    <col width="15" customWidth="1" min="4" max="4"/>
    <col width="12" customWidth="1" min="5" max="5"/>
    <col width="11" customWidth="1" min="6" max="6"/>
    <col width="20" customWidth="1" min="7" max="7"/>
  </cols>
  <sheetData>
    <row r="1" ht="26" customHeight="1">
      <c r="A1" s="8" t="inlineStr">
        <is>
          <t>No</t>
        </is>
      </c>
      <c r="B1" s="8" t="inlineStr">
        <is>
          <t>상품명</t>
        </is>
      </c>
      <c r="C1" s="8" t="inlineStr">
        <is>
          <t>판매가격(원)</t>
        </is>
      </c>
      <c r="D1" s="8" t="inlineStr">
        <is>
          <t>브랜드</t>
        </is>
      </c>
      <c r="E1" s="8" t="inlineStr">
        <is>
          <t>연결방식</t>
        </is>
      </c>
      <c r="F1" s="8" t="inlineStr">
        <is>
          <t>리뷰수</t>
        </is>
      </c>
      <c r="G1" s="8" t="inlineStr">
        <is>
          <t>스위치타입</t>
        </is>
      </c>
    </row>
    <row r="2" ht="19" customHeight="1">
      <c r="A2" s="31" t="n">
        <v>1</v>
      </c>
      <c r="B2" s="32" t="inlineStr">
        <is>
          <t>AULA F108 PRO 유무선 기계식 치즈 화이트 한글 (저소음 바다축)</t>
        </is>
      </c>
      <c r="C2" s="33" t="n">
        <v>89000</v>
      </c>
      <c r="D2" s="31" t="inlineStr">
        <is>
          <t>AULA</t>
        </is>
      </c>
      <c r="E2" s="31" t="inlineStr">
        <is>
          <t>유선+무선</t>
        </is>
      </c>
      <c r="F2" s="34" t="n">
        <v>50</v>
      </c>
      <c r="G2" s="31" t="inlineStr">
        <is>
          <t>저소음 바다축</t>
        </is>
      </c>
    </row>
    <row r="3" ht="19" customHeight="1">
      <c r="A3" s="35" t="n">
        <v>2</v>
      </c>
      <c r="B3" s="36" t="inlineStr">
        <is>
          <t>AULA F87 Pro 유무선 기계식 인디고 블랙 한글 (저소음 피치축 V2)</t>
        </is>
      </c>
      <c r="C3" s="37" t="n">
        <v>67000</v>
      </c>
      <c r="D3" s="35" t="inlineStr">
        <is>
          <t>AULA</t>
        </is>
      </c>
      <c r="E3" s="35" t="inlineStr">
        <is>
          <t>유선+무선</t>
        </is>
      </c>
      <c r="F3" s="38" t="n">
        <v>34</v>
      </c>
      <c r="G3" s="35" t="inlineStr">
        <is>
          <t>저소음 피치축 V2</t>
        </is>
      </c>
    </row>
    <row r="4" ht="19" customHeight="1">
      <c r="A4" s="31" t="n">
        <v>3</v>
      </c>
      <c r="B4" s="32" t="inlineStr">
        <is>
          <t>FL-ESPORTS NX87HE 민트 블랙 (저소음 스톰축)</t>
        </is>
      </c>
      <c r="C4" s="33" t="n">
        <v>98000</v>
      </c>
      <c r="D4" s="31" t="inlineStr">
        <is>
          <t>FL-ESPORTS</t>
        </is>
      </c>
      <c r="E4" s="31" t="inlineStr">
        <is>
          <t>유선</t>
        </is>
      </c>
      <c r="F4" s="34" t="n">
        <v>1</v>
      </c>
      <c r="G4" s="31" t="inlineStr">
        <is>
          <t>저소음 스톰축</t>
        </is>
      </c>
    </row>
    <row r="5" ht="19" customHeight="1">
      <c r="A5" s="35" t="n">
        <v>4</v>
      </c>
      <c r="B5" s="36" t="inlineStr">
        <is>
          <t>AULA F87 Pro 기계식 다크 올리비아 한글 (저소음 바다축)</t>
        </is>
      </c>
      <c r="C5" s="37" t="n">
        <v>48000</v>
      </c>
      <c r="D5" s="35" t="inlineStr">
        <is>
          <t>AULA</t>
        </is>
      </c>
      <c r="E5" s="35" t="inlineStr">
        <is>
          <t>유선</t>
        </is>
      </c>
      <c r="F5" s="38" t="n">
        <v>13</v>
      </c>
      <c r="G5" s="35" t="inlineStr">
        <is>
          <t>저소음 바다축</t>
        </is>
      </c>
    </row>
    <row r="6" ht="19" customHeight="1">
      <c r="A6" s="31" t="n">
        <v>5</v>
      </c>
      <c r="B6" s="32" t="inlineStr">
        <is>
          <t>앱코 K560 축교환 레인보우 무빙 LED 기계식 블랙 (적축)</t>
        </is>
      </c>
      <c r="C6" s="33" t="n">
        <v>28510</v>
      </c>
      <c r="D6" s="31" t="inlineStr">
        <is>
          <t>앱코</t>
        </is>
      </c>
      <c r="E6" s="31" t="inlineStr">
        <is>
          <t>유선</t>
        </is>
      </c>
      <c r="F6" s="34" t="n">
        <v>126</v>
      </c>
      <c r="G6" s="31" t="inlineStr">
        <is>
          <t>적축</t>
        </is>
      </c>
    </row>
    <row r="7" ht="19" customHeight="1">
      <c r="A7" s="35" t="n">
        <v>6</v>
      </c>
      <c r="B7" s="36" t="inlineStr">
        <is>
          <t>로지텍 KEYS-TO-GO 2 (정품) (그라파이트)</t>
        </is>
      </c>
      <c r="C7" s="37" t="n">
        <v>84900</v>
      </c>
      <c r="D7" s="35" t="inlineStr">
        <is>
          <t>로지텍</t>
        </is>
      </c>
      <c r="E7" s="35" t="inlineStr">
        <is>
          <t>무선</t>
        </is>
      </c>
      <c r="F7" s="38" t="n">
        <v>91</v>
      </c>
      <c r="G7" s="35" t="inlineStr">
        <is>
          <t>미기재/기타</t>
        </is>
      </c>
    </row>
    <row r="8" ht="19" customHeight="1">
      <c r="A8" s="31" t="n">
        <v>7</v>
      </c>
      <c r="B8" s="32" t="inlineStr">
        <is>
          <t>CORSAIR 뱅가드 AIR 99 무선 (화이트)</t>
        </is>
      </c>
      <c r="C8" s="33" t="n">
        <v>359440</v>
      </c>
      <c r="D8" s="31" t="inlineStr">
        <is>
          <t>CORSAIR</t>
        </is>
      </c>
      <c r="E8" s="31" t="inlineStr">
        <is>
          <t>유선+무선</t>
        </is>
      </c>
      <c r="F8" s="34" t="n">
        <v>1</v>
      </c>
      <c r="G8" s="31" t="inlineStr">
        <is>
          <t>미기재/기타</t>
        </is>
      </c>
    </row>
    <row r="9" ht="19" customHeight="1">
      <c r="A9" s="35" t="n">
        <v>8</v>
      </c>
      <c r="B9" s="36" t="inlineStr">
        <is>
          <t>로지텍 MK295 SILENT (정품) (블랙)</t>
        </is>
      </c>
      <c r="C9" s="37" t="n">
        <v>37900</v>
      </c>
      <c r="D9" s="35" t="inlineStr">
        <is>
          <t>로지텍</t>
        </is>
      </c>
      <c r="E9" s="35" t="inlineStr">
        <is>
          <t>무선</t>
        </is>
      </c>
      <c r="F9" s="38" t="n">
        <v>327</v>
      </c>
      <c r="G9" s="35" t="inlineStr">
        <is>
          <t>미기재/기타</t>
        </is>
      </c>
    </row>
    <row r="10" ht="19" customHeight="1">
      <c r="A10" s="31" t="n">
        <v>9</v>
      </c>
      <c r="B10" s="32" t="inlineStr">
        <is>
          <t>CORSAIR 뱅가드 PRO 96 게이밍</t>
        </is>
      </c>
      <c r="C10" s="33" t="n">
        <v>208990</v>
      </c>
      <c r="D10" s="31" t="inlineStr">
        <is>
          <t>CORSAIR</t>
        </is>
      </c>
      <c r="E10" s="31" t="inlineStr">
        <is>
          <t>유선</t>
        </is>
      </c>
      <c r="F10" s="34" t="n">
        <v>7</v>
      </c>
      <c r="G10" s="31" t="inlineStr">
        <is>
          <t>미기재/기타</t>
        </is>
      </c>
    </row>
    <row r="11" ht="19" customHeight="1">
      <c r="A11" s="35" t="n">
        <v>10</v>
      </c>
      <c r="B11" s="36" t="inlineStr">
        <is>
          <t>Razer Huntsman V3 HE Magnetic TKL</t>
        </is>
      </c>
      <c r="C11" s="37" t="n">
        <v>239000</v>
      </c>
      <c r="D11" s="35" t="inlineStr">
        <is>
          <t>RAZER</t>
        </is>
      </c>
      <c r="E11" s="35" t="inlineStr">
        <is>
          <t>유선</t>
        </is>
      </c>
      <c r="F11" s="38" t="n">
        <v>0</v>
      </c>
      <c r="G11" s="35" t="inlineStr">
        <is>
          <t>미기재/기타</t>
        </is>
      </c>
    </row>
    <row r="12" ht="19" customHeight="1">
      <c r="A12" s="31" t="n">
        <v>11</v>
      </c>
      <c r="B12" s="32" t="inlineStr">
        <is>
          <t>AULA F108 기계식 라이트 그레이 (저소음 바다축)</t>
        </is>
      </c>
      <c r="C12" s="33" t="n">
        <v>65000</v>
      </c>
      <c r="D12" s="31" t="inlineStr">
        <is>
          <t>AULA</t>
        </is>
      </c>
      <c r="E12" s="31" t="inlineStr">
        <is>
          <t>유선</t>
        </is>
      </c>
      <c r="F12" s="34" t="n">
        <v>13</v>
      </c>
      <c r="G12" s="31" t="inlineStr">
        <is>
          <t>저소음 바다축</t>
        </is>
      </c>
    </row>
    <row r="13" ht="19" customHeight="1">
      <c r="A13" s="35" t="n">
        <v>12</v>
      </c>
      <c r="B13" s="36" t="inlineStr">
        <is>
          <t>AULA F108 유무선 기계식 스카이 블랙 한글 (저소음 바다축)</t>
        </is>
      </c>
      <c r="C13" s="37" t="n">
        <v>82000</v>
      </c>
      <c r="D13" s="35" t="inlineStr">
        <is>
          <t>AULA</t>
        </is>
      </c>
      <c r="E13" s="35" t="inlineStr">
        <is>
          <t>유선+무선</t>
        </is>
      </c>
      <c r="F13" s="38" t="n">
        <v>129</v>
      </c>
      <c r="G13" s="35" t="inlineStr">
        <is>
          <t>저소음 바다축</t>
        </is>
      </c>
    </row>
    <row r="14" ht="19" customHeight="1">
      <c r="A14" s="31" t="n">
        <v>13</v>
      </c>
      <c r="B14" s="32" t="inlineStr">
        <is>
          <t>AULA F87 Pro V2 유무선 기계식 모던 블랙 (저소음 바다축)</t>
        </is>
      </c>
      <c r="C14" s="33" t="n">
        <v>85000</v>
      </c>
      <c r="D14" s="31" t="inlineStr">
        <is>
          <t>AULA</t>
        </is>
      </c>
      <c r="E14" s="31" t="inlineStr">
        <is>
          <t>유선+무선</t>
        </is>
      </c>
      <c r="F14" s="34" t="n">
        <v>0</v>
      </c>
      <c r="G14" s="31" t="inlineStr">
        <is>
          <t>저소음 바다축</t>
        </is>
      </c>
    </row>
    <row r="15" ht="19" customHeight="1">
      <c r="A15" s="35" t="n">
        <v>14</v>
      </c>
      <c r="B15" s="36" t="inlineStr">
        <is>
          <t>COX CKM40W 저소음 무선 키보드 마우스 세트 (블랙)</t>
        </is>
      </c>
      <c r="C15" s="37" t="n">
        <v>17590</v>
      </c>
      <c r="D15" s="35" t="inlineStr">
        <is>
          <t>COX</t>
        </is>
      </c>
      <c r="E15" s="35" t="inlineStr">
        <is>
          <t>무선</t>
        </is>
      </c>
      <c r="F15" s="38" t="n">
        <v>25</v>
      </c>
      <c r="G15" s="35" t="inlineStr">
        <is>
          <t>미기재/기타</t>
        </is>
      </c>
    </row>
    <row r="16" ht="19" customHeight="1">
      <c r="A16" s="31" t="n">
        <v>15</v>
      </c>
      <c r="B16" s="32" t="inlineStr">
        <is>
          <t>로지텍 MK250 무선 키보드 마우스 세트</t>
        </is>
      </c>
      <c r="C16" s="33" t="n">
        <v>25900</v>
      </c>
      <c r="D16" s="31" t="inlineStr">
        <is>
          <t>로지텍</t>
        </is>
      </c>
      <c r="E16" s="31" t="inlineStr">
        <is>
          <t>무선</t>
        </is>
      </c>
      <c r="F16" s="34" t="n">
        <v>32</v>
      </c>
      <c r="G16" s="31" t="inlineStr">
        <is>
          <t>미기재/기타</t>
        </is>
      </c>
    </row>
    <row r="17" ht="19" customHeight="1">
      <c r="A17" s="35" t="n">
        <v>16</v>
      </c>
      <c r="B17" s="36" t="inlineStr">
        <is>
          <t>앱코 ACH105 오피스워커 유무선 기계식 블랙 (저소음 바다소금축)</t>
        </is>
      </c>
      <c r="C17" s="37" t="n">
        <v>79000</v>
      </c>
      <c r="D17" s="35" t="inlineStr">
        <is>
          <t>앱코</t>
        </is>
      </c>
      <c r="E17" s="35" t="inlineStr">
        <is>
          <t>유선+무선</t>
        </is>
      </c>
      <c r="F17" s="38" t="n">
        <v>0</v>
      </c>
      <c r="G17" s="35" t="inlineStr">
        <is>
          <t>저소음 바다소금축</t>
        </is>
      </c>
    </row>
    <row r="18" ht="19" customHeight="1">
      <c r="A18" s="31" t="n">
        <v>17</v>
      </c>
      <c r="B18" s="32" t="inlineStr">
        <is>
          <t>AULA S102Pro 유무선 (그레이)</t>
        </is>
      </c>
      <c r="C18" s="33" t="n">
        <v>29800</v>
      </c>
      <c r="D18" s="31" t="inlineStr">
        <is>
          <t>AULA</t>
        </is>
      </c>
      <c r="E18" s="31" t="inlineStr">
        <is>
          <t>유선+무선</t>
        </is>
      </c>
      <c r="F18" s="34" t="n">
        <v>10</v>
      </c>
      <c r="G18" s="31" t="inlineStr">
        <is>
          <t>미기재/기타</t>
        </is>
      </c>
    </row>
    <row r="19" ht="19" customHeight="1">
      <c r="A19" s="35" t="n">
        <v>18</v>
      </c>
      <c r="B19" s="36" t="inlineStr">
        <is>
          <t>로지텍 시그니처 MK650 (정품) (그라파이트)</t>
        </is>
      </c>
      <c r="C19" s="37" t="n">
        <v>79900</v>
      </c>
      <c r="D19" s="35" t="inlineStr">
        <is>
          <t>로지텍</t>
        </is>
      </c>
      <c r="E19" s="35" t="inlineStr">
        <is>
          <t>무선</t>
        </is>
      </c>
      <c r="F19" s="38" t="n">
        <v>60</v>
      </c>
      <c r="G19" s="35" t="inlineStr">
        <is>
          <t>미기재/기타</t>
        </is>
      </c>
    </row>
    <row r="20" ht="19" customHeight="1">
      <c r="A20" s="31" t="n">
        <v>19</v>
      </c>
      <c r="B20" s="32" t="inlineStr">
        <is>
          <t>ASUS ROG AZOTH X 유무선 기계식 (SNOW축)</t>
        </is>
      </c>
      <c r="C20" s="33" t="n">
        <v>299000</v>
      </c>
      <c r="D20" s="31" t="inlineStr">
        <is>
          <t>ASUS</t>
        </is>
      </c>
      <c r="E20" s="31" t="inlineStr">
        <is>
          <t>유선+무선</t>
        </is>
      </c>
      <c r="F20" s="34" t="n">
        <v>2</v>
      </c>
      <c r="G20" s="31" t="inlineStr">
        <is>
          <t>SNOW축</t>
        </is>
      </c>
    </row>
    <row r="21" ht="19" customHeight="1">
      <c r="A21" s="35" t="n">
        <v>20</v>
      </c>
      <c r="B21" s="36" t="inlineStr">
        <is>
          <t>로지텍 MK235 (정품) (키스킨 미포함)</t>
        </is>
      </c>
      <c r="C21" s="37" t="n">
        <v>25550</v>
      </c>
      <c r="D21" s="35" t="inlineStr">
        <is>
          <t>로지텍</t>
        </is>
      </c>
      <c r="E21" s="35" t="inlineStr">
        <is>
          <t>무선</t>
        </is>
      </c>
      <c r="F21" s="38" t="n">
        <v>650</v>
      </c>
      <c r="G21" s="35" t="inlineStr">
        <is>
          <t>미기재/기타</t>
        </is>
      </c>
    </row>
    <row r="22" ht="19" customHeight="1">
      <c r="A22" s="31" t="n">
        <v>21</v>
      </c>
      <c r="B22" s="32" t="inlineStr">
        <is>
          <t>로지텍 시그니처 슬림 MK950 키보드 마우스 세트 (정품) (그래파이트)</t>
        </is>
      </c>
      <c r="C22" s="33" t="n">
        <v>118990</v>
      </c>
      <c r="D22" s="31" t="inlineStr">
        <is>
          <t>로지텍</t>
        </is>
      </c>
      <c r="E22" s="31" t="inlineStr">
        <is>
          <t>무선</t>
        </is>
      </c>
      <c r="F22" s="34" t="n">
        <v>61</v>
      </c>
      <c r="G22" s="31" t="inlineStr">
        <is>
          <t>미기재/기타</t>
        </is>
      </c>
    </row>
    <row r="23" ht="19" customHeight="1">
      <c r="A23" s="35" t="n">
        <v>22</v>
      </c>
      <c r="B23" s="36" t="inlineStr">
        <is>
          <t>로지텍 K380S (정품) (스모키블랙)</t>
        </is>
      </c>
      <c r="C23" s="37" t="n">
        <v>30490</v>
      </c>
      <c r="D23" s="35" t="inlineStr">
        <is>
          <t>로지텍</t>
        </is>
      </c>
      <c r="E23" s="35" t="inlineStr">
        <is>
          <t>무선</t>
        </is>
      </c>
      <c r="F23" s="38" t="n">
        <v>167</v>
      </c>
      <c r="G23" s="35" t="inlineStr">
        <is>
          <t>미기재/기타</t>
        </is>
      </c>
    </row>
    <row r="24" ht="19" customHeight="1">
      <c r="A24" s="31" t="n">
        <v>23</v>
      </c>
      <c r="B24" s="32" t="inlineStr">
        <is>
          <t>로지텍 MX Keys S (정품) (그라파이트)</t>
        </is>
      </c>
      <c r="C24" s="33" t="n">
        <v>139000</v>
      </c>
      <c r="D24" s="31" t="inlineStr">
        <is>
          <t>로지텍</t>
        </is>
      </c>
      <c r="E24" s="31" t="inlineStr">
        <is>
          <t>무선</t>
        </is>
      </c>
      <c r="F24" s="34" t="n">
        <v>81</v>
      </c>
      <c r="G24" s="31" t="inlineStr">
        <is>
          <t>미기재/기타</t>
        </is>
      </c>
    </row>
    <row r="25" ht="19" customHeight="1">
      <c r="A25" s="35" t="n">
        <v>24</v>
      </c>
      <c r="B25" s="36" t="inlineStr">
        <is>
          <t>로지텍 K120 New (정품)</t>
        </is>
      </c>
      <c r="C25" s="37" t="n">
        <v>11990</v>
      </c>
      <c r="D25" s="35" t="inlineStr">
        <is>
          <t>로지텍</t>
        </is>
      </c>
      <c r="E25" s="35" t="inlineStr">
        <is>
          <t>유선</t>
        </is>
      </c>
      <c r="F25" s="38" t="n">
        <v>0</v>
      </c>
      <c r="G25" s="35" t="inlineStr">
        <is>
          <t>미기재/기타</t>
        </is>
      </c>
    </row>
    <row r="26" ht="19" customHeight="1">
      <c r="A26" s="31" t="n">
        <v>25</v>
      </c>
      <c r="B26" s="32" t="inlineStr">
        <is>
          <t>앱코 K561 교체축 유무선 블루투스 기계식 블랙 (적축)</t>
        </is>
      </c>
      <c r="C26" s="33" t="n">
        <v>29900</v>
      </c>
      <c r="D26" s="31" t="inlineStr">
        <is>
          <t>앱코</t>
        </is>
      </c>
      <c r="E26" s="31" t="inlineStr">
        <is>
          <t>유선+무선</t>
        </is>
      </c>
      <c r="F26" s="34" t="n">
        <v>19</v>
      </c>
      <c r="G26" s="31" t="inlineStr">
        <is>
          <t>적축</t>
        </is>
      </c>
    </row>
    <row r="27" ht="19" customHeight="1">
      <c r="A27" s="35" t="n">
        <v>26</v>
      </c>
      <c r="B27" s="36" t="inlineStr">
        <is>
          <t>Nillkin Cube Pocket (그레이)</t>
        </is>
      </c>
      <c r="C27" s="37" t="n">
        <v>67280</v>
      </c>
      <c r="D27" s="35" t="inlineStr">
        <is>
          <t>Nillkin</t>
        </is>
      </c>
      <c r="E27" s="35" t="inlineStr">
        <is>
          <t>무선</t>
        </is>
      </c>
      <c r="F27" s="38" t="n">
        <v>0</v>
      </c>
      <c r="G27" s="35" t="inlineStr">
        <is>
          <t>미기재/기타</t>
        </is>
      </c>
    </row>
    <row r="28" ht="19" customHeight="1">
      <c r="A28" s="31" t="n">
        <v>27</v>
      </c>
      <c r="B28" s="32" t="inlineStr">
        <is>
          <t>한성컴퓨터 GK698 OfficeMaster 유무선 (RETRO POINT)</t>
        </is>
      </c>
      <c r="C28" s="33" t="n">
        <v>39880</v>
      </c>
      <c r="D28" s="31" t="inlineStr">
        <is>
          <t>한성컴퓨터</t>
        </is>
      </c>
      <c r="E28" s="31" t="inlineStr">
        <is>
          <t>유선+무선</t>
        </is>
      </c>
      <c r="F28" s="34" t="n">
        <v>59</v>
      </c>
      <c r="G28" s="31" t="inlineStr">
        <is>
          <t>미기재/기타</t>
        </is>
      </c>
    </row>
    <row r="29" ht="19" customHeight="1">
      <c r="A29" s="35" t="n">
        <v>28</v>
      </c>
      <c r="B29" s="36" t="inlineStr">
        <is>
          <t>로지텍 Wave Keys + LIFT VERTICAL Combo 무선 키보드 마우스 세트 (그래파이트)</t>
        </is>
      </c>
      <c r="C29" s="37" t="n">
        <v>134100</v>
      </c>
      <c r="D29" s="35" t="inlineStr">
        <is>
          <t>로지텍</t>
        </is>
      </c>
      <c r="E29" s="35" t="inlineStr">
        <is>
          <t>무선</t>
        </is>
      </c>
      <c r="F29" s="38" t="n">
        <v>25</v>
      </c>
      <c r="G29" s="35" t="inlineStr">
        <is>
          <t>미기재/기타</t>
        </is>
      </c>
    </row>
    <row r="30" ht="19" customHeight="1">
      <c r="A30" s="31" t="n">
        <v>29</v>
      </c>
      <c r="B30" s="32" t="inlineStr">
        <is>
          <t>CORSAIR 클리퍼 PRO 미니 60 (화이트)</t>
        </is>
      </c>
      <c r="C30" s="33" t="n">
        <v>169000</v>
      </c>
      <c r="D30" s="31" t="inlineStr">
        <is>
          <t>CORSAIR</t>
        </is>
      </c>
      <c r="E30" s="31" t="inlineStr">
        <is>
          <t>유선</t>
        </is>
      </c>
      <c r="F30" s="34" t="n">
        <v>0</v>
      </c>
      <c r="G30" s="31" t="inlineStr">
        <is>
          <t>미기재/기타</t>
        </is>
      </c>
    </row>
    <row r="31" ht="19" customHeight="1">
      <c r="A31" s="35" t="n">
        <v>30</v>
      </c>
      <c r="B31" s="36" t="inlineStr">
        <is>
          <t>프리플로우 archon M1 PRO 2 MAX (메카닉)</t>
        </is>
      </c>
      <c r="C31" s="37" t="n">
        <v>99000</v>
      </c>
      <c r="D31" s="35" t="inlineStr">
        <is>
          <t>프리플로우</t>
        </is>
      </c>
      <c r="E31" s="35" t="inlineStr">
        <is>
          <t>유선</t>
        </is>
      </c>
      <c r="F31" s="38" t="n">
        <v>1</v>
      </c>
      <c r="G31" s="35" t="inlineStr">
        <is>
          <t>미기재/기타</t>
        </is>
      </c>
    </row>
    <row r="32" ht="19" customHeight="1">
      <c r="A32" s="31" t="n">
        <v>31</v>
      </c>
      <c r="B32" s="32" t="inlineStr">
        <is>
          <t>프리플로우 archon M1 PRO 2 TKL (메카닉)</t>
        </is>
      </c>
      <c r="C32" s="33" t="n">
        <v>89000</v>
      </c>
      <c r="D32" s="31" t="inlineStr">
        <is>
          <t>프리플로우</t>
        </is>
      </c>
      <c r="E32" s="31" t="inlineStr">
        <is>
          <t>유선</t>
        </is>
      </c>
      <c r="F32" s="34" t="n">
        <v>1</v>
      </c>
      <c r="G32" s="31" t="inlineStr">
        <is>
          <t>미기재/기타</t>
        </is>
      </c>
    </row>
    <row r="33" ht="19" customHeight="1">
      <c r="A33" s="35" t="n">
        <v>32</v>
      </c>
      <c r="B33" s="36" t="inlineStr">
        <is>
          <t>로지텍 MX Mechanical (정품) (갈축)</t>
        </is>
      </c>
      <c r="C33" s="37" t="n">
        <v>178980</v>
      </c>
      <c r="D33" s="35" t="inlineStr">
        <is>
          <t>로지텍</t>
        </is>
      </c>
      <c r="E33" s="35" t="inlineStr">
        <is>
          <t>무선</t>
        </is>
      </c>
      <c r="F33" s="38" t="n">
        <v>48</v>
      </c>
      <c r="G33" s="35" t="inlineStr">
        <is>
          <t>갈축</t>
        </is>
      </c>
    </row>
    <row r="34" ht="19" customHeight="1">
      <c r="A34" s="31" t="n">
        <v>33</v>
      </c>
      <c r="B34" s="32" t="inlineStr">
        <is>
          <t>AULA F108 PRO 유무선 기계식 오로라 블랙 한글 (저소음 솜사탕축)</t>
        </is>
      </c>
      <c r="C34" s="33" t="n">
        <v>89000</v>
      </c>
      <c r="D34" s="31" t="inlineStr">
        <is>
          <t>AULA</t>
        </is>
      </c>
      <c r="E34" s="31" t="inlineStr">
        <is>
          <t>유선+무선</t>
        </is>
      </c>
      <c r="F34" s="34" t="n">
        <v>43</v>
      </c>
      <c r="G34" s="31" t="inlineStr">
        <is>
          <t>저소음 솜사탕축</t>
        </is>
      </c>
    </row>
    <row r="35" ht="19" customHeight="1">
      <c r="A35" s="35" t="n">
        <v>34</v>
      </c>
      <c r="B35" s="36" t="inlineStr">
        <is>
          <t>앱코 K562 교체축 3모드 계산기 유무선 기계식</t>
        </is>
      </c>
      <c r="C35" s="37" t="n">
        <v>23900</v>
      </c>
      <c r="D35" s="35" t="inlineStr">
        <is>
          <t>앱코</t>
        </is>
      </c>
      <c r="E35" s="35" t="inlineStr">
        <is>
          <t>유선+무선</t>
        </is>
      </c>
      <c r="F35" s="38" t="n">
        <v>2</v>
      </c>
      <c r="G35" s="35" t="inlineStr">
        <is>
          <t>미기재/기타</t>
        </is>
      </c>
    </row>
    <row r="36" ht="19" customHeight="1">
      <c r="A36" s="31" t="n">
        <v>35</v>
      </c>
      <c r="B36" s="32" t="inlineStr">
        <is>
          <t>주연테크 긱스타 GK108FE (봄 꽃비)</t>
        </is>
      </c>
      <c r="C36" s="33" t="n">
        <v>18800</v>
      </c>
      <c r="D36" s="31" t="inlineStr">
        <is>
          <t>주연테크</t>
        </is>
      </c>
      <c r="E36" s="31" t="inlineStr">
        <is>
          <t>유선</t>
        </is>
      </c>
      <c r="F36" s="34" t="n">
        <v>0</v>
      </c>
      <c r="G36" s="31" t="inlineStr">
        <is>
          <t>미기재/기타</t>
        </is>
      </c>
    </row>
    <row r="37" ht="19" customHeight="1">
      <c r="A37" s="35" t="n">
        <v>36</v>
      </c>
      <c r="B37" s="36" t="inlineStr">
        <is>
          <t>한성컴퓨터 TFG Magnetox 2XF 저소음 (쿠키앤크림)</t>
        </is>
      </c>
      <c r="C37" s="37" t="n">
        <v>104000</v>
      </c>
      <c r="D37" s="35" t="inlineStr">
        <is>
          <t>한성컴퓨터</t>
        </is>
      </c>
      <c r="E37" s="35" t="inlineStr">
        <is>
          <t>유선</t>
        </is>
      </c>
      <c r="F37" s="38" t="n">
        <v>1</v>
      </c>
      <c r="G37" s="35" t="inlineStr">
        <is>
          <t>미기재/기타</t>
        </is>
      </c>
    </row>
    <row r="38" ht="19" customHeight="1">
      <c r="A38" s="31" t="n">
        <v>37</v>
      </c>
      <c r="B38" s="32" t="inlineStr">
        <is>
          <t>SPM PL87W 몽돌 유무선 기계식 (블랙)</t>
        </is>
      </c>
      <c r="C38" s="33" t="n">
        <v>56900</v>
      </c>
      <c r="D38" s="31" t="inlineStr">
        <is>
          <t>SPM</t>
        </is>
      </c>
      <c r="E38" s="31" t="inlineStr">
        <is>
          <t>유선+무선</t>
        </is>
      </c>
      <c r="F38" s="34" t="n">
        <v>110</v>
      </c>
      <c r="G38" s="31" t="inlineStr">
        <is>
          <t>미기재/기타</t>
        </is>
      </c>
    </row>
    <row r="39" ht="19" customHeight="1">
      <c r="A39" s="35" t="n">
        <v>38</v>
      </c>
      <c r="B39" s="36" t="inlineStr">
        <is>
          <t>Razer Huntsman V3 Pro TKL 8K KR (정품)</t>
        </is>
      </c>
      <c r="C39" s="37" t="n">
        <v>329000</v>
      </c>
      <c r="D39" s="35" t="inlineStr">
        <is>
          <t>RAZER</t>
        </is>
      </c>
      <c r="E39" s="35" t="inlineStr">
        <is>
          <t>유선</t>
        </is>
      </c>
      <c r="F39" s="38" t="n">
        <v>5</v>
      </c>
      <c r="G39" s="35" t="inlineStr">
        <is>
          <t>미기재/기타</t>
        </is>
      </c>
    </row>
    <row r="40" ht="19" customHeight="1">
      <c r="A40" s="31" t="n">
        <v>39</v>
      </c>
      <c r="B40" s="32" t="inlineStr">
        <is>
          <t>AULA F108 유무선 기계식 블러쉬 핑크 한글 (저소음 바다축)</t>
        </is>
      </c>
      <c r="C40" s="33" t="n">
        <v>89000</v>
      </c>
      <c r="D40" s="31" t="inlineStr">
        <is>
          <t>AULA</t>
        </is>
      </c>
      <c r="E40" s="31" t="inlineStr">
        <is>
          <t>유선+무선</t>
        </is>
      </c>
      <c r="F40" s="34" t="n">
        <v>0</v>
      </c>
      <c r="G40" s="31" t="inlineStr">
        <is>
          <t>저소음 바다축</t>
        </is>
      </c>
    </row>
    <row r="41" ht="19" customHeight="1">
      <c r="A41" s="35" t="n">
        <v>40</v>
      </c>
      <c r="B41" s="36" t="inlineStr">
        <is>
          <t>COX COS10 유선 키보드 마우스 세트</t>
        </is>
      </c>
      <c r="C41" s="37" t="n">
        <v>8900</v>
      </c>
      <c r="D41" s="35" t="inlineStr">
        <is>
          <t>COX</t>
        </is>
      </c>
      <c r="E41" s="35" t="inlineStr">
        <is>
          <t>유선</t>
        </is>
      </c>
      <c r="F41" s="38" t="n">
        <v>4</v>
      </c>
      <c r="G41" s="35" t="inlineStr">
        <is>
          <t>미기재/기타</t>
        </is>
      </c>
    </row>
    <row r="42" ht="19" customHeight="1">
      <c r="A42" s="31" t="n">
        <v>41</v>
      </c>
      <c r="B42" s="32" t="inlineStr">
        <is>
          <t>CORSAIR K70 MAX RGB MGX 게이밍 기계식 (마그네틱축)</t>
        </is>
      </c>
      <c r="C42" s="33" t="n">
        <v>287030</v>
      </c>
      <c r="D42" s="31" t="inlineStr">
        <is>
          <t>CORSAIR</t>
        </is>
      </c>
      <c r="E42" s="31" t="inlineStr">
        <is>
          <t>유선</t>
        </is>
      </c>
      <c r="F42" s="34" t="n">
        <v>72</v>
      </c>
      <c r="G42" s="31" t="inlineStr">
        <is>
          <t>마그네틱축</t>
        </is>
      </c>
    </row>
    <row r="43" ht="19" customHeight="1">
      <c r="A43" s="35" t="n">
        <v>42</v>
      </c>
      <c r="B43" s="36" t="inlineStr">
        <is>
          <t>AULA F87 Pro 유무선 기계식 올리비아 화이트 한글 (저소음 피치축 V2)</t>
        </is>
      </c>
      <c r="C43" s="37" t="n">
        <v>67000</v>
      </c>
      <c r="D43" s="35" t="inlineStr">
        <is>
          <t>AULA</t>
        </is>
      </c>
      <c r="E43" s="35" t="inlineStr">
        <is>
          <t>유선+무선</t>
        </is>
      </c>
      <c r="F43" s="38" t="n">
        <v>35</v>
      </c>
      <c r="G43" s="35" t="inlineStr">
        <is>
          <t>저소음 피치축 V2</t>
        </is>
      </c>
    </row>
    <row r="44" ht="19" customHeight="1">
      <c r="A44" s="31" t="n">
        <v>43</v>
      </c>
      <c r="B44" s="32" t="inlineStr">
        <is>
          <t>AULA F87 Pro V2 유무선 기계식 샌드 베이지 (저소음 바다축)</t>
        </is>
      </c>
      <c r="C44" s="33" t="n">
        <v>85000</v>
      </c>
      <c r="D44" s="31" t="inlineStr">
        <is>
          <t>AULA</t>
        </is>
      </c>
      <c r="E44" s="31" t="inlineStr">
        <is>
          <t>유선+무선</t>
        </is>
      </c>
      <c r="F44" s="34" t="n">
        <v>0</v>
      </c>
      <c r="G44" s="31" t="inlineStr">
        <is>
          <t>저소음 바다축</t>
        </is>
      </c>
    </row>
    <row r="45" ht="19" customHeight="1">
      <c r="A45" s="35" t="n">
        <v>44</v>
      </c>
      <c r="B45" s="36" t="inlineStr">
        <is>
          <t>CHERRY XTRFY K37 유무선 (화이트)</t>
        </is>
      </c>
      <c r="C45" s="37" t="n">
        <v>58000</v>
      </c>
      <c r="D45" s="35" t="inlineStr">
        <is>
          <t>CHERRY</t>
        </is>
      </c>
      <c r="E45" s="35" t="inlineStr">
        <is>
          <t>유선+무선</t>
        </is>
      </c>
      <c r="F45" s="38" t="n">
        <v>0</v>
      </c>
      <c r="G45" s="35" t="inlineStr">
        <is>
          <t>미기재/기타</t>
        </is>
      </c>
    </row>
    <row r="46" ht="19" customHeight="1">
      <c r="A46" s="31" t="n">
        <v>45</v>
      </c>
      <c r="B46" s="32" t="inlineStr">
        <is>
          <t>앱코 AK998 8K OTEMU 특주축 기계식 스카이 블루 (멜론축)</t>
        </is>
      </c>
      <c r="C46" s="33" t="n">
        <v>58000</v>
      </c>
      <c r="D46" s="31" t="inlineStr">
        <is>
          <t>앱코</t>
        </is>
      </c>
      <c r="E46" s="31" t="inlineStr">
        <is>
          <t>유선</t>
        </is>
      </c>
      <c r="F46" s="34" t="n">
        <v>3</v>
      </c>
      <c r="G46" s="31" t="inlineStr">
        <is>
          <t>멜론축</t>
        </is>
      </c>
    </row>
    <row r="47" ht="19" customHeight="1">
      <c r="A47" s="35" t="n">
        <v>46</v>
      </c>
      <c r="B47" s="36" t="inlineStr">
        <is>
          <t>앱코 AK94BT 유무선 기계식 스카이블루 (저소음 피치축)</t>
        </is>
      </c>
      <c r="C47" s="37" t="n">
        <v>79380</v>
      </c>
      <c r="D47" s="35" t="inlineStr">
        <is>
          <t>앱코</t>
        </is>
      </c>
      <c r="E47" s="35" t="inlineStr">
        <is>
          <t>유선+무선</t>
        </is>
      </c>
      <c r="F47" s="38" t="n">
        <v>0</v>
      </c>
      <c r="G47" s="35" t="inlineStr">
        <is>
          <t>저소음 피치축</t>
        </is>
      </c>
    </row>
    <row r="48" ht="19" customHeight="1">
      <c r="A48" s="31" t="n">
        <v>47</v>
      </c>
      <c r="B48" s="32" t="inlineStr">
        <is>
          <t>앱코 AK87 슬림 프로 3모드 로우 프로파일 유무선 기계식 (햇살축)</t>
        </is>
      </c>
      <c r="C48" s="33" t="n">
        <v>75000</v>
      </c>
      <c r="D48" s="31" t="inlineStr">
        <is>
          <t>앱코</t>
        </is>
      </c>
      <c r="E48" s="31" t="inlineStr">
        <is>
          <t>유선+무선</t>
        </is>
      </c>
      <c r="F48" s="34" t="n">
        <v>1</v>
      </c>
      <c r="G48" s="31" t="inlineStr">
        <is>
          <t>햇살축</t>
        </is>
      </c>
    </row>
    <row r="49" ht="19" customHeight="1">
      <c r="A49" s="35" t="n">
        <v>48</v>
      </c>
      <c r="B49" s="36" t="inlineStr">
        <is>
          <t>로지텍 mx keys mini (정품) (그라파이트)</t>
        </is>
      </c>
      <c r="C49" s="37" t="n">
        <v>99000</v>
      </c>
      <c r="D49" s="35" t="inlineStr">
        <is>
          <t>로지텍</t>
        </is>
      </c>
      <c r="E49" s="35" t="inlineStr">
        <is>
          <t>무선</t>
        </is>
      </c>
      <c r="F49" s="38" t="n">
        <v>259</v>
      </c>
      <c r="G49" s="35" t="inlineStr">
        <is>
          <t>미기재/기타</t>
        </is>
      </c>
    </row>
    <row r="50" ht="19" customHeight="1">
      <c r="A50" s="31" t="n">
        <v>49</v>
      </c>
      <c r="B50" s="32" t="inlineStr">
        <is>
          <t>AULA F108 유무선 기계식 올리비아 화이트 한글 (저소음 바다축)</t>
        </is>
      </c>
      <c r="C50" s="33" t="n">
        <v>82000</v>
      </c>
      <c r="D50" s="31" t="inlineStr">
        <is>
          <t>AULA</t>
        </is>
      </c>
      <c r="E50" s="31" t="inlineStr">
        <is>
          <t>유선+무선</t>
        </is>
      </c>
      <c r="F50" s="34" t="n">
        <v>53</v>
      </c>
      <c r="G50" s="31" t="inlineStr">
        <is>
          <t>저소음 바다축</t>
        </is>
      </c>
    </row>
    <row r="51" ht="19" customHeight="1">
      <c r="A51" s="35" t="n">
        <v>50</v>
      </c>
      <c r="B51" s="36" t="inlineStr">
        <is>
          <t>로지텍 MK200 NEW (정품)</t>
        </is>
      </c>
      <c r="C51" s="37" t="n">
        <v>22530</v>
      </c>
      <c r="D51" s="35" t="inlineStr">
        <is>
          <t>로지텍</t>
        </is>
      </c>
      <c r="E51" s="35" t="inlineStr">
        <is>
          <t>유선</t>
        </is>
      </c>
      <c r="F51" s="38" t="n">
        <v>94</v>
      </c>
      <c r="G51" s="35" t="inlineStr">
        <is>
          <t>미기재/기타</t>
        </is>
      </c>
    </row>
    <row r="52" ht="19" customHeight="1">
      <c r="A52" s="31" t="n">
        <v>51</v>
      </c>
      <c r="B52" s="32" t="inlineStr">
        <is>
          <t>CHERRY XTRFY MX 8.2 PRO TMR 8K 유무선</t>
        </is>
      </c>
      <c r="C52" s="33" t="n">
        <v>207200</v>
      </c>
      <c r="D52" s="31" t="inlineStr">
        <is>
          <t>CHERRY</t>
        </is>
      </c>
      <c r="E52" s="31" t="inlineStr">
        <is>
          <t>유선+무선</t>
        </is>
      </c>
      <c r="F52" s="34" t="n">
        <v>1</v>
      </c>
      <c r="G52" s="31" t="inlineStr">
        <is>
          <t>미기재/기타</t>
        </is>
      </c>
    </row>
    <row r="53" ht="19" customHeight="1">
      <c r="A53" s="35" t="n">
        <v>52</v>
      </c>
      <c r="B53" s="36" t="inlineStr">
        <is>
          <t>AULA F87 Pro 기계식 라이트 올리비아 한글 (저소음 바다축)</t>
        </is>
      </c>
      <c r="C53" s="37" t="n">
        <v>42800</v>
      </c>
      <c r="D53" s="35" t="inlineStr">
        <is>
          <t>AULA</t>
        </is>
      </c>
      <c r="E53" s="35" t="inlineStr">
        <is>
          <t>유선</t>
        </is>
      </c>
      <c r="F53" s="38" t="n">
        <v>11</v>
      </c>
      <c r="G53" s="35" t="inlineStr">
        <is>
          <t>저소음 바다축</t>
        </is>
      </c>
    </row>
    <row r="54" ht="19" customHeight="1">
      <c r="A54" s="31" t="n">
        <v>53</v>
      </c>
      <c r="B54" s="32" t="inlineStr">
        <is>
          <t>지클릭커 오피스프로 WK35 (그린)</t>
        </is>
      </c>
      <c r="C54" s="33" t="n">
        <v>29800</v>
      </c>
      <c r="D54" s="31" t="inlineStr">
        <is>
          <t>지클릭커</t>
        </is>
      </c>
      <c r="E54" s="31" t="inlineStr">
        <is>
          <t>무선</t>
        </is>
      </c>
      <c r="F54" s="34" t="n">
        <v>0</v>
      </c>
      <c r="G54" s="31" t="inlineStr">
        <is>
          <t>미기재/기타</t>
        </is>
      </c>
    </row>
    <row r="55" ht="19" customHeight="1">
      <c r="A55" s="35" t="n">
        <v>54</v>
      </c>
      <c r="B55" s="36" t="inlineStr">
        <is>
          <t>COX CKM510 게이밍 키보드 마우스 세트</t>
        </is>
      </c>
      <c r="C55" s="37" t="n">
        <v>18900</v>
      </c>
      <c r="D55" s="35" t="inlineStr">
        <is>
          <t>COX</t>
        </is>
      </c>
      <c r="E55" s="35" t="inlineStr">
        <is>
          <t>유선</t>
        </is>
      </c>
      <c r="F55" s="38" t="n">
        <v>2</v>
      </c>
      <c r="G55" s="35" t="inlineStr">
        <is>
          <t>미기재/기타</t>
        </is>
      </c>
    </row>
    <row r="56" ht="19" customHeight="1">
      <c r="A56" s="31" t="n">
        <v>55</v>
      </c>
      <c r="B56" s="32" t="inlineStr">
        <is>
          <t>CORSAIR K70 RGB PRO (갈축)</t>
        </is>
      </c>
      <c r="C56" s="33" t="n">
        <v>212950</v>
      </c>
      <c r="D56" s="31" t="inlineStr">
        <is>
          <t>CORSAIR</t>
        </is>
      </c>
      <c r="E56" s="31" t="inlineStr">
        <is>
          <t>유선</t>
        </is>
      </c>
      <c r="F56" s="34" t="n">
        <v>120</v>
      </c>
      <c r="G56" s="31" t="inlineStr">
        <is>
          <t>갈축</t>
        </is>
      </c>
    </row>
    <row r="57" ht="19" customHeight="1">
      <c r="A57" s="35" t="n">
        <v>56</v>
      </c>
      <c r="B57" s="36" t="inlineStr">
        <is>
          <t>마이크로닉스 MANIC PAMPAM 팜레스트 키보드 손목받침대</t>
        </is>
      </c>
      <c r="C57" s="37" t="n">
        <v>8630</v>
      </c>
      <c r="D57" s="35" t="inlineStr">
        <is>
          <t>마이크로닉스</t>
        </is>
      </c>
      <c r="E57" s="35" t="inlineStr">
        <is>
          <t>미분류</t>
        </is>
      </c>
      <c r="F57" s="38" t="n">
        <v>59</v>
      </c>
      <c r="G57" s="35" t="inlineStr">
        <is>
          <t>미기재/기타</t>
        </is>
      </c>
    </row>
    <row r="58" ht="19" customHeight="1">
      <c r="A58" s="31" t="n">
        <v>57</v>
      </c>
      <c r="B58" s="32" t="inlineStr">
        <is>
          <t>COX CK420 교체축 레인보우 LED 게이밍 기계식 화이트 (갈축)</t>
        </is>
      </c>
      <c r="C58" s="33" t="n">
        <v>29900</v>
      </c>
      <c r="D58" s="31" t="inlineStr">
        <is>
          <t>COX</t>
        </is>
      </c>
      <c r="E58" s="31" t="inlineStr">
        <is>
          <t>유선</t>
        </is>
      </c>
      <c r="F58" s="34" t="n">
        <v>16</v>
      </c>
      <c r="G58" s="31" t="inlineStr">
        <is>
          <t>갈축</t>
        </is>
      </c>
    </row>
    <row r="59" ht="19" customHeight="1">
      <c r="A59" s="35" t="n">
        <v>58</v>
      </c>
      <c r="B59" s="36" t="inlineStr">
        <is>
          <t>COX CK01 TKL (적축)</t>
        </is>
      </c>
      <c r="C59" s="37" t="n">
        <v>31900</v>
      </c>
      <c r="D59" s="35" t="inlineStr">
        <is>
          <t>COX</t>
        </is>
      </c>
      <c r="E59" s="35" t="inlineStr">
        <is>
          <t>유선</t>
        </is>
      </c>
      <c r="F59" s="38" t="n">
        <v>12</v>
      </c>
      <c r="G59" s="35" t="inlineStr">
        <is>
          <t>적축</t>
        </is>
      </c>
    </row>
    <row r="60" ht="19" customHeight="1">
      <c r="A60" s="31" t="n">
        <v>59</v>
      </c>
      <c r="B60" s="32" t="inlineStr">
        <is>
          <t>COX CK01 PBT 이색사출 사이드 RGB 기계식 키보드 (적축)</t>
        </is>
      </c>
      <c r="C60" s="33" t="n">
        <v>31500</v>
      </c>
      <c r="D60" s="31" t="inlineStr">
        <is>
          <t>COX</t>
        </is>
      </c>
      <c r="E60" s="31" t="inlineStr">
        <is>
          <t>유선</t>
        </is>
      </c>
      <c r="F60" s="34" t="n">
        <v>7</v>
      </c>
      <c r="G60" s="31" t="inlineStr">
        <is>
          <t>적축</t>
        </is>
      </c>
    </row>
    <row r="61" ht="19" customHeight="1">
      <c r="A61" s="35" t="n">
        <v>60</v>
      </c>
      <c r="B61" s="36" t="inlineStr">
        <is>
          <t>COX CY104K V2 카일 광축 V2 게이밍 블랙 (적축)</t>
        </is>
      </c>
      <c r="C61" s="37" t="n">
        <v>65000</v>
      </c>
      <c r="D61" s="35" t="inlineStr">
        <is>
          <t>COX</t>
        </is>
      </c>
      <c r="E61" s="35" t="inlineStr">
        <is>
          <t>유선</t>
        </is>
      </c>
      <c r="F61" s="38" t="n">
        <v>1</v>
      </c>
      <c r="G61" s="35" t="inlineStr">
        <is>
          <t>적축</t>
        </is>
      </c>
    </row>
    <row r="62" ht="19" customHeight="1">
      <c r="A62" s="31" t="n">
        <v>61</v>
      </c>
      <c r="B62" s="32" t="inlineStr">
        <is>
          <t>글로리어스 GMBK 75%</t>
        </is>
      </c>
      <c r="C62" s="33" t="n">
        <v>59000</v>
      </c>
      <c r="D62" s="31" t="inlineStr">
        <is>
          <t>글로리어스</t>
        </is>
      </c>
      <c r="E62" s="31" t="inlineStr">
        <is>
          <t>유선</t>
        </is>
      </c>
      <c r="F62" s="34" t="n">
        <v>0</v>
      </c>
      <c r="G62" s="31" t="inlineStr">
        <is>
          <t>미기재/기타</t>
        </is>
      </c>
    </row>
    <row r="63" ht="19" customHeight="1">
      <c r="A63" s="35" t="n">
        <v>62</v>
      </c>
      <c r="B63" s="36" t="inlineStr">
        <is>
          <t>COX CK87 크림블루 게이트론 LED 게이밍 기계식 (갈축)</t>
        </is>
      </c>
      <c r="C63" s="37" t="n">
        <v>42000</v>
      </c>
      <c r="D63" s="35" t="inlineStr">
        <is>
          <t>COX</t>
        </is>
      </c>
      <c r="E63" s="35" t="inlineStr">
        <is>
          <t>유선</t>
        </is>
      </c>
      <c r="F63" s="38" t="n">
        <v>16</v>
      </c>
      <c r="G63" s="35" t="inlineStr">
        <is>
          <t>갈축</t>
        </is>
      </c>
    </row>
    <row r="64" ht="19" customHeight="1">
      <c r="A64" s="31" t="n">
        <v>63</v>
      </c>
      <c r="B64" s="32" t="inlineStr">
        <is>
          <t>앱코 K561 교체축 유무선 블루투스 기계식 화이트 (적축)</t>
        </is>
      </c>
      <c r="C64" s="33" t="n">
        <v>29900</v>
      </c>
      <c r="D64" s="31" t="inlineStr">
        <is>
          <t>앱코</t>
        </is>
      </c>
      <c r="E64" s="31" t="inlineStr">
        <is>
          <t>유선+무선</t>
        </is>
      </c>
      <c r="F64" s="34" t="n">
        <v>10</v>
      </c>
      <c r="G64" s="31" t="inlineStr">
        <is>
          <t>적축</t>
        </is>
      </c>
    </row>
    <row r="65" ht="19" customHeight="1">
      <c r="A65" s="35" t="n">
        <v>64</v>
      </c>
      <c r="B65" s="36" t="inlineStr">
        <is>
          <t>CORSAIR K70 RGB CORE 게이밍 기계식 (블랙)</t>
        </is>
      </c>
      <c r="C65" s="37" t="n">
        <v>138990</v>
      </c>
      <c r="D65" s="35" t="inlineStr">
        <is>
          <t>CORSAIR</t>
        </is>
      </c>
      <c r="E65" s="35" t="inlineStr">
        <is>
          <t>유선</t>
        </is>
      </c>
      <c r="F65" s="38" t="n">
        <v>23</v>
      </c>
      <c r="G65" s="35" t="inlineStr">
        <is>
          <t>미기재/기타</t>
        </is>
      </c>
    </row>
    <row r="66" ht="19" customHeight="1">
      <c r="A66" s="31" t="n">
        <v>65</v>
      </c>
      <c r="B66" s="32" t="inlineStr">
        <is>
          <t>앱코 KN30BT 블루투스 유무선 무접점</t>
        </is>
      </c>
      <c r="C66" s="33" t="n">
        <v>109000</v>
      </c>
      <c r="D66" s="31" t="inlineStr">
        <is>
          <t>앱코</t>
        </is>
      </c>
      <c r="E66" s="31" t="inlineStr">
        <is>
          <t>유선+무선</t>
        </is>
      </c>
      <c r="F66" s="34" t="n">
        <v>20</v>
      </c>
      <c r="G66" s="31" t="inlineStr">
        <is>
          <t>미기재/기타</t>
        </is>
      </c>
    </row>
    <row r="67" ht="19" customHeight="1">
      <c r="A67" s="35" t="n">
        <v>66</v>
      </c>
      <c r="B67" s="36" t="inlineStr">
        <is>
          <t>COX COS600 무선</t>
        </is>
      </c>
      <c r="C67" s="37" t="n">
        <v>26900</v>
      </c>
      <c r="D67" s="35" t="inlineStr">
        <is>
          <t>COX</t>
        </is>
      </c>
      <c r="E67" s="35" t="inlineStr">
        <is>
          <t>무선</t>
        </is>
      </c>
      <c r="F67" s="38" t="n">
        <v>1</v>
      </c>
      <c r="G67" s="35" t="inlineStr">
        <is>
          <t>미기재/기타</t>
        </is>
      </c>
    </row>
    <row r="68" ht="19" customHeight="1">
      <c r="A68" s="31" t="n">
        <v>67</v>
      </c>
      <c r="B68" s="32" t="inlineStr">
        <is>
          <t>앱코 MK87 저소음 텐키리스 멤브레인 (오트밀)</t>
        </is>
      </c>
      <c r="C68" s="33" t="n">
        <v>17900</v>
      </c>
      <c r="D68" s="31" t="inlineStr">
        <is>
          <t>앱코</t>
        </is>
      </c>
      <c r="E68" s="31" t="inlineStr">
        <is>
          <t>유선</t>
        </is>
      </c>
      <c r="F68" s="34" t="n">
        <v>13</v>
      </c>
      <c r="G68" s="31" t="inlineStr">
        <is>
          <t>미기재/기타</t>
        </is>
      </c>
    </row>
    <row r="69" ht="19" customHeight="1">
      <c r="A69" s="35" t="n">
        <v>68</v>
      </c>
      <c r="B69" s="36" t="inlineStr">
        <is>
          <t>FL-ESPORTS NX108 유무선 기계식 크림 핑크 (저소음 파도축)</t>
        </is>
      </c>
      <c r="C69" s="37" t="n">
        <v>82000</v>
      </c>
      <c r="D69" s="35" t="inlineStr">
        <is>
          <t>FL-ESPORTS</t>
        </is>
      </c>
      <c r="E69" s="35" t="inlineStr">
        <is>
          <t>유선+무선</t>
        </is>
      </c>
      <c r="F69" s="38" t="n">
        <v>7</v>
      </c>
      <c r="G69" s="35" t="inlineStr">
        <is>
          <t>저소음 파도축</t>
        </is>
      </c>
    </row>
    <row r="70" ht="19" customHeight="1">
      <c r="A70" s="31" t="n">
        <v>69</v>
      </c>
      <c r="B70" s="32" t="inlineStr">
        <is>
          <t>마이크로닉스 MANIC X240 LED 게이밍 기계식 키보드 (청축)</t>
        </is>
      </c>
      <c r="C70" s="33" t="n">
        <v>27900</v>
      </c>
      <c r="D70" s="31" t="inlineStr">
        <is>
          <t>마이크로닉스</t>
        </is>
      </c>
      <c r="E70" s="31" t="inlineStr">
        <is>
          <t>유선</t>
        </is>
      </c>
      <c r="F70" s="34" t="n">
        <v>18</v>
      </c>
      <c r="G70" s="31" t="inlineStr">
        <is>
          <t>청축</t>
        </is>
      </c>
    </row>
    <row r="71" ht="19" customHeight="1">
      <c r="A71" s="35" t="n">
        <v>70</v>
      </c>
      <c r="B71" s="36" t="inlineStr">
        <is>
          <t>앱코 KN35BT DRT 8K 염료승화 블루투스 유무선 무접점 (베른)</t>
        </is>
      </c>
      <c r="C71" s="37" t="n">
        <v>109000</v>
      </c>
      <c r="D71" s="35" t="inlineStr">
        <is>
          <t>앱코</t>
        </is>
      </c>
      <c r="E71" s="35" t="inlineStr">
        <is>
          <t>유선+무선</t>
        </is>
      </c>
      <c r="F71" s="38" t="n">
        <v>7</v>
      </c>
      <c r="G71" s="35" t="inlineStr">
        <is>
          <t>미기재/기타</t>
        </is>
      </c>
    </row>
    <row r="72" ht="19" customHeight="1">
      <c r="A72" s="31" t="n">
        <v>71</v>
      </c>
      <c r="B72" s="32" t="inlineStr">
        <is>
          <t>앱코 K560 축교환 레인보우 무빙 LED 기계식 화이트 (적축)</t>
        </is>
      </c>
      <c r="C72" s="33" t="n">
        <v>30900</v>
      </c>
      <c r="D72" s="31" t="inlineStr">
        <is>
          <t>앱코</t>
        </is>
      </c>
      <c r="E72" s="31" t="inlineStr">
        <is>
          <t>유선</t>
        </is>
      </c>
      <c r="F72" s="34" t="n">
        <v>34</v>
      </c>
      <c r="G72" s="31" t="inlineStr">
        <is>
          <t>적축</t>
        </is>
      </c>
    </row>
    <row r="73" ht="19" customHeight="1">
      <c r="A73" s="35" t="n">
        <v>72</v>
      </c>
      <c r="B73" s="36" t="inlineStr">
        <is>
          <t>COX CK01 TKL PBT 기계식 키보드 (적축)</t>
        </is>
      </c>
      <c r="C73" s="37" t="n">
        <v>29900</v>
      </c>
      <c r="D73" s="35" t="inlineStr">
        <is>
          <t>COX</t>
        </is>
      </c>
      <c r="E73" s="35" t="inlineStr">
        <is>
          <t>유선</t>
        </is>
      </c>
      <c r="F73" s="38" t="n">
        <v>3</v>
      </c>
      <c r="G73" s="35" t="inlineStr">
        <is>
          <t>적축</t>
        </is>
      </c>
    </row>
    <row r="74" ht="19" customHeight="1">
      <c r="A74" s="31" t="n">
        <v>73</v>
      </c>
      <c r="B74" s="32" t="inlineStr">
        <is>
          <t>FL-ESPORTS NX108HE 민트 블랙 (레몬축)</t>
        </is>
      </c>
      <c r="C74" s="33" t="n">
        <v>98000</v>
      </c>
      <c r="D74" s="31" t="inlineStr">
        <is>
          <t>FL-ESPORTS</t>
        </is>
      </c>
      <c r="E74" s="31" t="inlineStr">
        <is>
          <t>유선</t>
        </is>
      </c>
      <c r="F74" s="34" t="n">
        <v>0</v>
      </c>
      <c r="G74" s="31" t="inlineStr">
        <is>
          <t>레몬축</t>
        </is>
      </c>
    </row>
    <row r="75" ht="19" customHeight="1">
      <c r="A75" s="35" t="n">
        <v>74</v>
      </c>
      <c r="B75" s="36" t="inlineStr">
        <is>
          <t>앱코 HACKER K660 축교환 완전방수 게이밍 카일 광축 옐로우 (클릭)</t>
        </is>
      </c>
      <c r="C75" s="37" t="n">
        <v>65990</v>
      </c>
      <c r="D75" s="35" t="inlineStr">
        <is>
          <t>앱코</t>
        </is>
      </c>
      <c r="E75" s="35" t="inlineStr">
        <is>
          <t>유선</t>
        </is>
      </c>
      <c r="F75" s="38" t="n">
        <v>49</v>
      </c>
      <c r="G75" s="35" t="inlineStr">
        <is>
          <t>광축</t>
        </is>
      </c>
    </row>
    <row r="76" ht="19" customHeight="1">
      <c r="A76" s="31" t="n">
        <v>75</v>
      </c>
      <c r="B76" s="32" t="inlineStr">
        <is>
          <t>FL-ESPORTS NX108HE 네온 그레이 (레몬축)</t>
        </is>
      </c>
      <c r="C76" s="33" t="n">
        <v>98000</v>
      </c>
      <c r="D76" s="31" t="inlineStr">
        <is>
          <t>FL-ESPORTS</t>
        </is>
      </c>
      <c r="E76" s="31" t="inlineStr">
        <is>
          <t>유선</t>
        </is>
      </c>
      <c r="F76" s="34" t="n">
        <v>0</v>
      </c>
      <c r="G76" s="31" t="inlineStr">
        <is>
          <t>레몬축</t>
        </is>
      </c>
    </row>
    <row r="77" ht="19" customHeight="1">
      <c r="A77" s="35" t="n">
        <v>76</v>
      </c>
      <c r="B77" s="36" t="inlineStr">
        <is>
          <t>COX 카일 정품 광축 스위치 (5+5개, 클릭/리니어)</t>
        </is>
      </c>
      <c r="C77" s="37" t="n">
        <v>3990</v>
      </c>
      <c r="D77" s="35" t="inlineStr">
        <is>
          <t>COX</t>
        </is>
      </c>
      <c r="E77" s="35" t="inlineStr">
        <is>
          <t>미분류</t>
        </is>
      </c>
      <c r="F77" s="38" t="n">
        <v>20</v>
      </c>
      <c r="G77" s="35" t="inlineStr">
        <is>
          <t>광축</t>
        </is>
      </c>
    </row>
    <row r="78" ht="19" customHeight="1">
      <c r="A78" s="31" t="n">
        <v>77</v>
      </c>
      <c r="B78" s="32" t="inlineStr">
        <is>
          <t>프리플로우 archon AK47 유무선 기계식 (마에스트로)</t>
        </is>
      </c>
      <c r="C78" s="33" t="n">
        <v>57000</v>
      </c>
      <c r="D78" s="31" t="inlineStr">
        <is>
          <t>프리플로우</t>
        </is>
      </c>
      <c r="E78" s="31" t="inlineStr">
        <is>
          <t>유선+무선</t>
        </is>
      </c>
      <c r="F78" s="34" t="n">
        <v>74</v>
      </c>
      <c r="G78" s="31" t="inlineStr">
        <is>
          <t>미기재/기타</t>
        </is>
      </c>
    </row>
    <row r="79" ht="19" customHeight="1">
      <c r="A79" s="35" t="n">
        <v>78</v>
      </c>
      <c r="B79" s="36" t="inlineStr">
        <is>
          <t>darkFlash DKM100 키보드 마우스 세트 (흑설탕)</t>
        </is>
      </c>
      <c r="C79" s="37" t="n">
        <v>27170</v>
      </c>
      <c r="D79" s="35" t="inlineStr">
        <is>
          <t>darkFlash</t>
        </is>
      </c>
      <c r="E79" s="35" t="inlineStr">
        <is>
          <t>유선</t>
        </is>
      </c>
      <c r="F79" s="38" t="n">
        <v>4</v>
      </c>
      <c r="G79" s="35" t="inlineStr">
        <is>
          <t>미기재/기타</t>
        </is>
      </c>
    </row>
    <row r="80" ht="19" customHeight="1">
      <c r="A80" s="31" t="n">
        <v>79</v>
      </c>
      <c r="B80" s="32" t="inlineStr">
        <is>
          <t>로지텍 MK275 (정품)</t>
        </is>
      </c>
      <c r="C80" s="33" t="n">
        <v>34780</v>
      </c>
      <c r="D80" s="31" t="inlineStr">
        <is>
          <t>로지텍</t>
        </is>
      </c>
      <c r="E80" s="31" t="inlineStr">
        <is>
          <t>무선</t>
        </is>
      </c>
      <c r="F80" s="34" t="n">
        <v>291</v>
      </c>
      <c r="G80" s="31" t="inlineStr">
        <is>
          <t>미기재/기타</t>
        </is>
      </c>
    </row>
    <row r="81" ht="19" customHeight="1">
      <c r="A81" s="35" t="n">
        <v>80</v>
      </c>
      <c r="B81" s="36" t="inlineStr">
        <is>
          <t>로지텍 G515 LIGHTSPEED TKL (정품) (화이트)</t>
        </is>
      </c>
      <c r="C81" s="37" t="n">
        <v>129000</v>
      </c>
      <c r="D81" s="35" t="inlineStr">
        <is>
          <t>로지텍</t>
        </is>
      </c>
      <c r="E81" s="35" t="inlineStr">
        <is>
          <t>유선+무선</t>
        </is>
      </c>
      <c r="F81" s="38" t="n">
        <v>43</v>
      </c>
      <c r="G81" s="35" t="inlineStr">
        <is>
          <t>미기재/기타</t>
        </is>
      </c>
    </row>
    <row r="82" ht="19" customHeight="1">
      <c r="A82" s="31" t="n">
        <v>81</v>
      </c>
      <c r="B82" s="32" t="inlineStr">
        <is>
          <t>darkFlash CK104 무선 기계식 키보드 마우스 세트 블랙 (적축)</t>
        </is>
      </c>
      <c r="C82" s="33" t="n">
        <v>34490</v>
      </c>
      <c r="D82" s="31" t="inlineStr">
        <is>
          <t>darkFlash</t>
        </is>
      </c>
      <c r="E82" s="31" t="inlineStr">
        <is>
          <t>무선</t>
        </is>
      </c>
      <c r="F82" s="34" t="n">
        <v>4</v>
      </c>
      <c r="G82" s="31" t="inlineStr">
        <is>
          <t>적축</t>
        </is>
      </c>
    </row>
    <row r="83" ht="19" customHeight="1">
      <c r="A83" s="35" t="n">
        <v>82</v>
      </c>
      <c r="B83" s="36" t="inlineStr">
        <is>
          <t>로지텍 ERGO K860 (정품)</t>
        </is>
      </c>
      <c r="C83" s="37" t="n">
        <v>159000</v>
      </c>
      <c r="D83" s="35" t="inlineStr">
        <is>
          <t>로지텍</t>
        </is>
      </c>
      <c r="E83" s="35" t="inlineStr">
        <is>
          <t>무선</t>
        </is>
      </c>
      <c r="F83" s="38" t="n">
        <v>270</v>
      </c>
      <c r="G83" s="35" t="inlineStr">
        <is>
          <t>미기재/기타</t>
        </is>
      </c>
    </row>
    <row r="84" ht="19" customHeight="1">
      <c r="A84" s="31" t="n">
        <v>83</v>
      </c>
      <c r="B84" s="32" t="inlineStr">
        <is>
          <t>COX COS500 무선</t>
        </is>
      </c>
      <c r="C84" s="33" t="n">
        <v>28000</v>
      </c>
      <c r="D84" s="31" t="inlineStr">
        <is>
          <t>COX</t>
        </is>
      </c>
      <c r="E84" s="31" t="inlineStr">
        <is>
          <t>무선</t>
        </is>
      </c>
      <c r="F84" s="34" t="n">
        <v>4</v>
      </c>
      <c r="G84" s="31" t="inlineStr">
        <is>
          <t>미기재/기타</t>
        </is>
      </c>
    </row>
    <row r="85" ht="19" customHeight="1">
      <c r="A85" s="35" t="n">
        <v>84</v>
      </c>
      <c r="B85" s="36" t="inlineStr">
        <is>
          <t>로지텍 K400 PLUS (정품)</t>
        </is>
      </c>
      <c r="C85" s="37" t="n">
        <v>51570</v>
      </c>
      <c r="D85" s="35" t="inlineStr">
        <is>
          <t>로지텍</t>
        </is>
      </c>
      <c r="E85" s="35" t="inlineStr">
        <is>
          <t>무선</t>
        </is>
      </c>
      <c r="F85" s="38" t="n">
        <v>16</v>
      </c>
      <c r="G85" s="35" t="inlineStr">
        <is>
          <t>미기재/기타</t>
        </is>
      </c>
    </row>
    <row r="86" ht="19" customHeight="1">
      <c r="A86" s="31" t="n">
        <v>85</v>
      </c>
      <c r="B86" s="32" t="inlineStr">
        <is>
          <t>앱코 AF108PRO ABKO x SOAI 콜라보 3모드 기계식 코랄블루 (소복눈축)</t>
        </is>
      </c>
      <c r="C86" s="33" t="n">
        <v>79000</v>
      </c>
      <c r="D86" s="31" t="inlineStr">
        <is>
          <t>앱코</t>
        </is>
      </c>
      <c r="E86" s="31" t="inlineStr">
        <is>
          <t>유선+무선</t>
        </is>
      </c>
      <c r="F86" s="34" t="n">
        <v>21</v>
      </c>
      <c r="G86" s="31" t="inlineStr">
        <is>
          <t>소복눈축</t>
        </is>
      </c>
    </row>
    <row r="87" ht="19" customHeight="1">
      <c r="A87" s="35" t="n">
        <v>86</v>
      </c>
      <c r="B87" s="36" t="inlineStr">
        <is>
          <t>프리플로우 archon AK47 PRO 유무선 기계식 마시멜로우 (세이야축)</t>
        </is>
      </c>
      <c r="C87" s="37" t="n">
        <v>79900</v>
      </c>
      <c r="D87" s="35" t="inlineStr">
        <is>
          <t>프리플로우</t>
        </is>
      </c>
      <c r="E87" s="35" t="inlineStr">
        <is>
          <t>유선+무선</t>
        </is>
      </c>
      <c r="F87" s="38" t="n">
        <v>0</v>
      </c>
      <c r="G87" s="35" t="inlineStr">
        <is>
          <t>세이야축</t>
        </is>
      </c>
    </row>
    <row r="88" ht="19" customHeight="1">
      <c r="A88" s="31" t="n">
        <v>87</v>
      </c>
      <c r="B88" s="32" t="inlineStr">
        <is>
          <t>로지텍 MX Master 3S + MX Keys S COMBO (정품)</t>
        </is>
      </c>
      <c r="C88" s="33" t="n">
        <v>269000</v>
      </c>
      <c r="D88" s="31" t="inlineStr">
        <is>
          <t>로지텍</t>
        </is>
      </c>
      <c r="E88" s="31" t="inlineStr">
        <is>
          <t>무선</t>
        </is>
      </c>
      <c r="F88" s="34" t="n">
        <v>20</v>
      </c>
      <c r="G88" s="31" t="inlineStr">
        <is>
          <t>미기재/기타</t>
        </is>
      </c>
    </row>
    <row r="89" ht="19" customHeight="1">
      <c r="A89" s="35" t="n">
        <v>88</v>
      </c>
      <c r="B89" s="36" t="inlineStr">
        <is>
          <t>앱코 KM580 저소음 기계식 키보드 마우스 세트 (블랙)</t>
        </is>
      </c>
      <c r="C89" s="37" t="n">
        <v>77000</v>
      </c>
      <c r="D89" s="35" t="inlineStr">
        <is>
          <t>앱코</t>
        </is>
      </c>
      <c r="E89" s="35" t="inlineStr">
        <is>
          <t>유선</t>
        </is>
      </c>
      <c r="F89" s="38" t="n">
        <v>0</v>
      </c>
      <c r="G89" s="35" t="inlineStr">
        <is>
          <t>미기재/기타</t>
        </is>
      </c>
    </row>
    <row r="90" ht="19" customHeight="1">
      <c r="A90" s="31" t="n">
        <v>89</v>
      </c>
      <c r="B90" s="32" t="inlineStr">
        <is>
          <t>삼성전자 SKG-3000UB (키스킨 포함)</t>
        </is>
      </c>
      <c r="C90" s="33" t="n">
        <v>21500</v>
      </c>
      <c r="D90" s="31" t="inlineStr">
        <is>
          <t>삼성전자</t>
        </is>
      </c>
      <c r="E90" s="31" t="inlineStr">
        <is>
          <t>유선</t>
        </is>
      </c>
      <c r="F90" s="34" t="n">
        <v>0</v>
      </c>
      <c r="G90" s="31" t="inlineStr">
        <is>
          <t>미기재/기타</t>
        </is>
      </c>
    </row>
    <row r="91" ht="19" customHeight="1">
      <c r="A91" s="35" t="n">
        <v>90</v>
      </c>
      <c r="B91" s="36" t="inlineStr">
        <is>
          <t>SPM 세모키 PL87W ARA 유무선 기계식</t>
        </is>
      </c>
      <c r="C91" s="37" t="n">
        <v>69000</v>
      </c>
      <c r="D91" s="35" t="inlineStr">
        <is>
          <t>SPM</t>
        </is>
      </c>
      <c r="E91" s="35" t="inlineStr">
        <is>
          <t>유선+무선</t>
        </is>
      </c>
      <c r="F91" s="38" t="n">
        <v>31</v>
      </c>
      <c r="G91" s="35" t="inlineStr">
        <is>
          <t>미기재/기타</t>
        </is>
      </c>
    </row>
    <row r="92" ht="19" customHeight="1">
      <c r="A92" s="31" t="n">
        <v>91</v>
      </c>
      <c r="B92" s="32" t="inlineStr">
        <is>
          <t>앱코 MK108 저소음 멤브레인 (블랙)</t>
        </is>
      </c>
      <c r="C92" s="33" t="n">
        <v>18900</v>
      </c>
      <c r="D92" s="31" t="inlineStr">
        <is>
          <t>앱코</t>
        </is>
      </c>
      <c r="E92" s="31" t="inlineStr">
        <is>
          <t>유선</t>
        </is>
      </c>
      <c r="F92" s="34" t="n">
        <v>77</v>
      </c>
      <c r="G92" s="31" t="inlineStr">
        <is>
          <t>미기재/기타</t>
        </is>
      </c>
    </row>
    <row r="93" ht="19" customHeight="1">
      <c r="A93" s="35" t="n">
        <v>92</v>
      </c>
      <c r="B93" s="36" t="inlineStr">
        <is>
          <t>MSI FORGE K200 WIRELESS</t>
        </is>
      </c>
      <c r="C93" s="37" t="n">
        <v>20900</v>
      </c>
      <c r="D93" s="35" t="inlineStr">
        <is>
          <t>MSI</t>
        </is>
      </c>
      <c r="E93" s="35" t="inlineStr">
        <is>
          <t>무선</t>
        </is>
      </c>
      <c r="F93" s="38" t="n">
        <v>0</v>
      </c>
      <c r="G93" s="35" t="inlineStr">
        <is>
          <t>미기재/기타</t>
        </is>
      </c>
    </row>
    <row r="94" ht="19" customHeight="1">
      <c r="A94" s="31" t="n">
        <v>93</v>
      </c>
      <c r="B94" s="32" t="inlineStr">
        <is>
          <t>앱코 K517 레트로 기계식 (적축)</t>
        </is>
      </c>
      <c r="C94" s="33" t="n">
        <v>27900</v>
      </c>
      <c r="D94" s="31" t="inlineStr">
        <is>
          <t>앱코</t>
        </is>
      </c>
      <c r="E94" s="31" t="inlineStr">
        <is>
          <t>유선</t>
        </is>
      </c>
      <c r="F94" s="34" t="n">
        <v>54</v>
      </c>
      <c r="G94" s="31" t="inlineStr">
        <is>
          <t>적축</t>
        </is>
      </c>
    </row>
    <row r="95" ht="19" customHeight="1">
      <c r="A95" s="35" t="n">
        <v>94</v>
      </c>
      <c r="B95" s="36" t="inlineStr">
        <is>
          <t>로지텍 MK235 (병행수입)</t>
        </is>
      </c>
      <c r="C95" s="37" t="n">
        <v>24390</v>
      </c>
      <c r="D95" s="35" t="inlineStr">
        <is>
          <t>로지텍</t>
        </is>
      </c>
      <c r="E95" s="35" t="inlineStr">
        <is>
          <t>무선</t>
        </is>
      </c>
      <c r="F95" s="38" t="n">
        <v>70</v>
      </c>
      <c r="G95" s="35" t="inlineStr">
        <is>
          <t>미기재/기타</t>
        </is>
      </c>
    </row>
    <row r="96" ht="19" customHeight="1">
      <c r="A96" s="31" t="n">
        <v>95</v>
      </c>
      <c r="B96" s="32" t="inlineStr">
        <is>
          <t>darkFlash GD68 유무선 기계식 (별빛 파랑)</t>
        </is>
      </c>
      <c r="C96" s="33" t="n">
        <v>45010</v>
      </c>
      <c r="D96" s="31" t="inlineStr">
        <is>
          <t>darkFlash</t>
        </is>
      </c>
      <c r="E96" s="31" t="inlineStr">
        <is>
          <t>유선+무선</t>
        </is>
      </c>
      <c r="F96" s="34" t="n">
        <v>1</v>
      </c>
      <c r="G96" s="31" t="inlineStr">
        <is>
          <t>미기재/기타</t>
        </is>
      </c>
    </row>
    <row r="97" ht="19" customHeight="1">
      <c r="A97" s="35" t="n">
        <v>96</v>
      </c>
      <c r="B97" s="36" t="inlineStr">
        <is>
          <t>AULA F87 Pro 유무선 기계식 블러쉬 핑크 한글 (저소음 바다축)</t>
        </is>
      </c>
      <c r="C97" s="37" t="n">
        <v>73000</v>
      </c>
      <c r="D97" s="35" t="inlineStr">
        <is>
          <t>AULA</t>
        </is>
      </c>
      <c r="E97" s="35" t="inlineStr">
        <is>
          <t>유선+무선</t>
        </is>
      </c>
      <c r="F97" s="38" t="n">
        <v>0</v>
      </c>
      <c r="G97" s="35" t="inlineStr">
        <is>
          <t>저소음 바다축</t>
        </is>
      </c>
    </row>
    <row r="98" ht="19" customHeight="1">
      <c r="A98" s="31" t="n">
        <v>97</v>
      </c>
      <c r="B98" s="32" t="inlineStr">
        <is>
          <t>CORSAIR 스키프 100 PLUS</t>
        </is>
      </c>
      <c r="C98" s="33" t="n">
        <v>79000</v>
      </c>
      <c r="D98" s="31" t="inlineStr">
        <is>
          <t>CORSAIR</t>
        </is>
      </c>
      <c r="E98" s="31" t="inlineStr">
        <is>
          <t>유선</t>
        </is>
      </c>
      <c r="F98" s="34" t="n">
        <v>0</v>
      </c>
      <c r="G98" s="31" t="inlineStr">
        <is>
          <t>미기재/기타</t>
        </is>
      </c>
    </row>
    <row r="99" ht="19" customHeight="1">
      <c r="A99" s="35" t="n">
        <v>98</v>
      </c>
      <c r="B99" s="36" t="inlineStr">
        <is>
          <t>CORSAIR 갤리온 100 SD 스트림덱 LCD 기계식</t>
        </is>
      </c>
      <c r="C99" s="37" t="n">
        <v>446390</v>
      </c>
      <c r="D99" s="35" t="inlineStr">
        <is>
          <t>CORSAIR</t>
        </is>
      </c>
      <c r="E99" s="35" t="inlineStr">
        <is>
          <t>유선</t>
        </is>
      </c>
      <c r="F99" s="38" t="n">
        <v>0</v>
      </c>
      <c r="G99" s="35" t="inlineStr">
        <is>
          <t>미기재/기타</t>
        </is>
      </c>
    </row>
    <row r="100" ht="19" customHeight="1">
      <c r="A100" s="31" t="n">
        <v>99</v>
      </c>
      <c r="B100" s="32" t="inlineStr">
        <is>
          <t>QSENN GP-K7000 (블랙)</t>
        </is>
      </c>
      <c r="C100" s="33" t="n">
        <v>26840</v>
      </c>
      <c r="D100" s="31" t="inlineStr">
        <is>
          <t>QSENN</t>
        </is>
      </c>
      <c r="E100" s="31" t="inlineStr">
        <is>
          <t>유선</t>
        </is>
      </c>
      <c r="F100" s="34" t="n">
        <v>17</v>
      </c>
      <c r="G100" s="31" t="inlineStr">
        <is>
          <t>미기재/기타</t>
        </is>
      </c>
    </row>
    <row r="101" ht="19" customHeight="1">
      <c r="A101" s="35" t="n">
        <v>100</v>
      </c>
      <c r="B101" s="36" t="inlineStr">
        <is>
          <t>CHERRY XTRFY K5 PRO TMR (블랙)</t>
        </is>
      </c>
      <c r="C101" s="37" t="n">
        <v>99000</v>
      </c>
      <c r="D101" s="35" t="inlineStr">
        <is>
          <t>CHERRY</t>
        </is>
      </c>
      <c r="E101" s="35" t="inlineStr">
        <is>
          <t>유선</t>
        </is>
      </c>
      <c r="F101" s="38" t="n">
        <v>0</v>
      </c>
      <c r="G101" s="35" t="inlineStr">
        <is>
          <t>미기재/기타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2026-08-26T22:38:02Z</dcterms:created>
  <dcterms:modified xmlns:dcterms="http://purl.org/dc/terms/" xmlns:xsi="http://www.w3.org/2001/XMLSchema-instance" xsi:type="dcterms:W3CDTF">2026-08-26T22:38:02Z</dcterms:modified>
</cp:coreProperties>
</file>