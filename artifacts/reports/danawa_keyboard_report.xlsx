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_대시보드" sheetId="1" state="visible" r:id="rId1"/>
    <sheet xmlns:r="http://schemas.openxmlformats.org/officeDocument/2006/relationships" name="브랜드_분석" sheetId="2" state="visible" r:id="rId2"/>
    <sheet xmlns:r="http://schemas.openxmlformats.org/officeDocument/2006/relationships" name="연결및스위치_분석" sheetId="3" state="visible" r:id="rId3"/>
    <sheet xmlns:r="http://schemas.openxmlformats.org/officeDocument/2006/relationships" name="데이터_원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&quot;개&quot;"/>
    <numFmt numFmtId="165" formatCode="#,##0&quot;원&quot;"/>
    <numFmt numFmtId="166" formatCode="0.0%"/>
    <numFmt numFmtId="167" formatCode="0.0"/>
  </numFmts>
  <fonts count="7">
    <font>
      <name val="Calibri"/>
      <family val="2"/>
      <color theme="1"/>
      <sz val="11"/>
      <scheme val="minor"/>
    </font>
    <font>
      <name val="맑은 고딕"/>
      <b val="1"/>
      <color rgb="001E293B"/>
      <sz val="16"/>
    </font>
    <font>
      <name val="맑은 고딕"/>
      <i val="1"/>
      <color rgb="0064748B"/>
      <sz val="10"/>
    </font>
    <font>
      <name val="맑은 고딕"/>
      <b val="1"/>
      <color rgb="000F172A"/>
      <sz val="12"/>
    </font>
    <font>
      <name val="맑은 고딕"/>
      <b val="1"/>
      <color rgb="00FFFFFF"/>
      <sz val="11"/>
    </font>
    <font>
      <name val="맑은 고딕"/>
      <color rgb="001E293B"/>
      <sz val="10"/>
    </font>
    <font>
      <name val="맑은 고딕"/>
      <b val="1"/>
      <color rgb="000F172A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475569"/>
      </top>
      <bottom style="double">
        <color rgb="000F172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6" fillId="4" borderId="2" applyAlignment="1" pivotButton="0" quotePrefix="0" xfId="0">
      <alignment horizontal="center" vertical="center"/>
    </xf>
    <xf numFmtId="3" fontId="6" fillId="4" borderId="2" applyAlignment="1" pivotButton="0" quotePrefix="0" xfId="0">
      <alignment horizontal="right" vertical="center"/>
    </xf>
    <xf numFmtId="166" fontId="6" fillId="4" borderId="2" applyAlignment="1" pivotButton="0" quotePrefix="0" xfId="0">
      <alignment horizontal="right" vertical="center"/>
    </xf>
    <xf numFmtId="165" fontId="6" fillId="4" borderId="2" applyAlignment="1" pivotButton="0" quotePrefix="0" xfId="0">
      <alignment horizontal="right" vertical="center"/>
    </xf>
    <xf numFmtId="167" fontId="5" fillId="0" borderId="1" applyAlignment="1" pivotButton="0" quotePrefix="0" xfId="0">
      <alignment horizontal="right" vertical="center"/>
    </xf>
    <xf numFmtId="167" fontId="6" fillId="4" borderId="2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.7" customWidth="1" min="2" max="2"/>
    <col width="51.4" customWidth="1" min="3" max="3"/>
    <col width="26" customWidth="1" min="4" max="4"/>
    <col width="76.59999999999999" customWidth="1" min="5" max="5"/>
    <col width="68.90000000000001" customWidth="1" min="6" max="6"/>
  </cols>
  <sheetData>
    <row r="1"/>
    <row r="2">
      <c r="B2" s="1" t="inlineStr">
        <is>
          <t>다나와 인기 키보드 시장 분석 리포트</t>
        </is>
      </c>
    </row>
    <row r="3">
      <c r="B3" s="2" t="inlineStr">
        <is>
          <t>분석 기준일: 2026-08-27 | 표본 수: 100개 제품</t>
        </is>
      </c>
    </row>
    <row r="4"/>
    <row r="5">
      <c r="B5" s="3" t="inlineStr">
        <is>
          <t>[시장 핵심 요약 지표]</t>
        </is>
      </c>
    </row>
    <row r="6">
      <c r="B6" s="4" t="inlineStr">
        <is>
          <t>지표명</t>
        </is>
      </c>
      <c r="C6" s="4" t="inlineStr">
        <is>
          <t>값</t>
        </is>
      </c>
      <c r="D6" s="4" t="inlineStr">
        <is>
          <t>비고</t>
        </is>
      </c>
    </row>
    <row r="7">
      <c r="B7" s="5" t="inlineStr">
        <is>
          <t>총 분석 제품 수</t>
        </is>
      </c>
      <c r="C7" s="6">
        <f>COUNTA(데이터_원천!A2:A101)</f>
        <v/>
      </c>
      <c r="D7" s="5" t="inlineStr">
        <is>
          <t>다나와 인기 상위 100개</t>
        </is>
      </c>
    </row>
    <row r="8">
      <c r="B8" s="5" t="inlineStr">
        <is>
          <t>평균 제품 가격</t>
        </is>
      </c>
      <c r="C8" s="7">
        <f>AVERAGE(데이터_원천!C2:C101)</f>
        <v/>
      </c>
      <c r="D8" s="5" t="inlineStr">
        <is>
          <t>원 (전체 평균)</t>
        </is>
      </c>
    </row>
    <row r="9">
      <c r="B9" s="5" t="inlineStr">
        <is>
          <t>중앙값 가격</t>
        </is>
      </c>
      <c r="C9" s="7">
        <f>MEDIAN(데이터_원천!C2:C101)</f>
        <v/>
      </c>
      <c r="D9" s="5" t="inlineStr">
        <is>
          <t>원 (중앙값)</t>
        </is>
      </c>
    </row>
    <row r="10">
      <c r="B10" s="5" t="inlineStr">
        <is>
          <t>최고 가격 제품</t>
        </is>
      </c>
      <c r="C10" s="7">
        <f>MAX(데이터_원천!C2:C101)</f>
        <v/>
      </c>
      <c r="D10" s="5" t="inlineStr">
        <is>
          <t>원 (커세어/RAZER/ASUS군)</t>
        </is>
      </c>
    </row>
    <row r="11">
      <c r="B11" s="5" t="inlineStr">
        <is>
          <t>최저 가격 제품</t>
        </is>
      </c>
      <c r="C11" s="7">
        <f>MIN(데이터_원천!C2:C101)</f>
        <v/>
      </c>
      <c r="D11" s="5" t="inlineStr">
        <is>
          <t>원 (초가성비/스위치단품군)</t>
        </is>
      </c>
    </row>
    <row r="12">
      <c r="B12" s="5" t="inlineStr">
        <is>
          <t>총 리뷰 수 합계</t>
        </is>
      </c>
      <c r="C12" s="6">
        <f>SUM(데이터_원천!E2:E101)</f>
        <v/>
      </c>
      <c r="D12" s="5" t="inlineStr">
        <is>
          <t>건 (상위 제품군 리뷰 집계)</t>
        </is>
      </c>
    </row>
    <row r="13"/>
    <row r="14"/>
    <row r="15">
      <c r="B15" s="3" t="inlineStr">
        <is>
          <t>[가격대별 분포 현황]</t>
        </is>
      </c>
    </row>
    <row r="16">
      <c r="B16" s="8" t="inlineStr">
        <is>
          <t>가격대 구분</t>
        </is>
      </c>
      <c r="C16" s="8" t="inlineStr">
        <is>
          <t>제품 수(개)</t>
        </is>
      </c>
      <c r="D16" s="8" t="inlineStr">
        <is>
          <t>비중(%)</t>
        </is>
      </c>
      <c r="E16" s="8" t="inlineStr">
        <is>
          <t>평균 가격</t>
        </is>
      </c>
      <c r="F16" s="8" t="inlineStr">
        <is>
          <t>누적 리뷰 수</t>
        </is>
      </c>
    </row>
    <row r="17">
      <c r="B17" s="5" t="inlineStr">
        <is>
          <t>보급형 (&lt;5만원)</t>
        </is>
      </c>
      <c r="C17" s="9">
        <f>COUNTIF(데이터_원천!F2:F101, "보급형 (&lt;5만원)")</f>
        <v/>
      </c>
      <c r="D17" s="10">
        <f>C17/C20</f>
        <v/>
      </c>
      <c r="E17" s="11">
        <f>AVERAGEIF(데이터_원천!F2:F101, "보급형 (&lt;5만원)", 데이터_원천!C2:C101)</f>
        <v/>
      </c>
      <c r="F17" s="9">
        <f>SUMIF(데이터_원천!F2:F101, "보급형 (&lt;5만원)", 데이터_원천!E2:E101)</f>
        <v/>
      </c>
    </row>
    <row r="18">
      <c r="B18" s="5" t="inlineStr">
        <is>
          <t>중급형 (5~15만원)</t>
        </is>
      </c>
      <c r="C18" s="9">
        <f>COUNTIF(데이터_원천!F2:F101, "중급형 (5~15만원)")</f>
        <v/>
      </c>
      <c r="D18" s="10">
        <f>C18/C20</f>
        <v/>
      </c>
      <c r="E18" s="11">
        <f>AVERAGEIF(데이터_원천!F2:F101, "중급형 (5~15만원)", 데이터_원천!C2:C101)</f>
        <v/>
      </c>
      <c r="F18" s="9">
        <f>SUMIF(데이터_원천!F2:F101, "중급형 (5~15만원)", 데이터_원천!E2:E101)</f>
        <v/>
      </c>
    </row>
    <row r="19">
      <c r="B19" s="5" t="inlineStr">
        <is>
          <t>프리미엄 (≥15만원)</t>
        </is>
      </c>
      <c r="C19" s="9">
        <f>COUNTIF(데이터_원천!F2:F101, "프리미엄 (≥15만원)")</f>
        <v/>
      </c>
      <c r="D19" s="10">
        <f>C19/C20</f>
        <v/>
      </c>
      <c r="E19" s="11">
        <f>AVERAGEIF(데이터_원천!F2:F101, "프리미엄 (≥15만원)", 데이터_원천!C2:C101)</f>
        <v/>
      </c>
      <c r="F19" s="9">
        <f>SUMIF(데이터_원천!F2:F101, "프리미엄 (≥15만원)", 데이터_원천!E2:E101)</f>
        <v/>
      </c>
    </row>
    <row r="20">
      <c r="B20" s="12" t="inlineStr">
        <is>
          <t>합계</t>
        </is>
      </c>
      <c r="C20" s="13">
        <f>SUM(C17:C19)</f>
        <v/>
      </c>
      <c r="D20" s="14">
        <f>SUM(D17:D19)</f>
        <v/>
      </c>
      <c r="E20" s="15">
        <f>AVERAGE(데이터_원천!C2:C101)</f>
        <v/>
      </c>
      <c r="F20" s="13">
        <f>SUM(F17:F19)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5.2" customWidth="1" min="2" max="2"/>
    <col width="44.7" customWidth="1" min="3" max="3"/>
    <col width="69.90000000000001" customWidth="1" min="4" max="4"/>
    <col width="66.90000000000001" customWidth="1" min="5" max="5"/>
    <col width="66.90000000000001" customWidth="1" min="6" max="6"/>
    <col width="62.2" customWidth="1" min="7" max="7"/>
    <col width="66.2" customWidth="1" min="8" max="8"/>
  </cols>
  <sheetData>
    <row r="1"/>
    <row r="2">
      <c r="B2" s="1" t="inlineStr">
        <is>
          <t>브랜드별 제품 현황 및 가격·리뷰 분석</t>
        </is>
      </c>
    </row>
    <row r="3"/>
    <row r="4">
      <c r="B4" s="4" t="inlineStr">
        <is>
          <t>브랜드명</t>
        </is>
      </c>
      <c r="C4" s="4" t="inlineStr">
        <is>
          <t>제품 수(개)</t>
        </is>
      </c>
      <c r="D4" s="4" t="inlineStr">
        <is>
          <t>평균 가격(원)</t>
        </is>
      </c>
      <c r="E4" s="4" t="inlineStr">
        <is>
          <t>최저 가격(원)</t>
        </is>
      </c>
      <c r="F4" s="4" t="inlineStr">
        <is>
          <t>최고 가격(원)</t>
        </is>
      </c>
      <c r="G4" s="4" t="inlineStr">
        <is>
          <t>총 리뷰 수(개)</t>
        </is>
      </c>
      <c r="H4" s="4" t="inlineStr">
        <is>
          <t>평균 리뷰 수</t>
        </is>
      </c>
    </row>
    <row r="5">
      <c r="B5" s="5" t="inlineStr">
        <is>
          <t>앱코</t>
        </is>
      </c>
      <c r="C5" s="9">
        <f>COUNTIF(데이터_원천!G2:G101, "앱코")</f>
        <v/>
      </c>
      <c r="D5" s="11">
        <f>AVERAGEIF(데이터_원천!G2:G101, "앱코", 데이터_원천!C2:C101)</f>
        <v/>
      </c>
      <c r="E5" s="11">
        <f>MINIFS(데이터_원천!C2:C101, 데이터_원천!G2:G101, "앱코")</f>
        <v/>
      </c>
      <c r="F5" s="11">
        <f>MAXIFS(데이터_원천!C2:C101, 데이터_원천!G2:G101, "앱코")</f>
        <v/>
      </c>
      <c r="G5" s="9">
        <f>SUMIF(데이터_원천!G2:G101, "앱코", 데이터_원천!E2:E101)</f>
        <v/>
      </c>
      <c r="H5" s="16">
        <f>AVERAGEIF(데이터_원천!G2:G101, "앱코", 데이터_원천!E2:E101)</f>
        <v/>
      </c>
    </row>
    <row r="6">
      <c r="B6" s="5" t="inlineStr">
        <is>
          <t>로지텍</t>
        </is>
      </c>
      <c r="C6" s="9">
        <f>COUNTIF(데이터_원천!G2:G101, "로지텍")</f>
        <v/>
      </c>
      <c r="D6" s="11">
        <f>AVERAGEIF(데이터_원천!G2:G101, "로지텍", 데이터_원천!C2:C101)</f>
        <v/>
      </c>
      <c r="E6" s="11">
        <f>MINIFS(데이터_원천!C2:C101, 데이터_원천!G2:G101, "로지텍")</f>
        <v/>
      </c>
      <c r="F6" s="11">
        <f>MAXIFS(데이터_원천!C2:C101, 데이터_원천!G2:G101, "로지텍")</f>
        <v/>
      </c>
      <c r="G6" s="9">
        <f>SUMIF(데이터_원천!G2:G101, "로지텍", 데이터_원천!E2:E101)</f>
        <v/>
      </c>
      <c r="H6" s="16">
        <f>AVERAGEIF(데이터_원천!G2:G101, "로지텍", 데이터_원천!E2:E101)</f>
        <v/>
      </c>
    </row>
    <row r="7">
      <c r="B7" s="5" t="inlineStr">
        <is>
          <t>AULA</t>
        </is>
      </c>
      <c r="C7" s="9">
        <f>COUNTIF(데이터_원천!G2:G101, "AULA")</f>
        <v/>
      </c>
      <c r="D7" s="11">
        <f>AVERAGEIF(데이터_원천!G2:G101, "AULA", 데이터_원천!C2:C101)</f>
        <v/>
      </c>
      <c r="E7" s="11">
        <f>MINIFS(데이터_원천!C2:C101, 데이터_원천!G2:G101, "AULA")</f>
        <v/>
      </c>
      <c r="F7" s="11">
        <f>MAXIFS(데이터_원천!C2:C101, 데이터_원천!G2:G101, "AULA")</f>
        <v/>
      </c>
      <c r="G7" s="9">
        <f>SUMIF(데이터_원천!G2:G101, "AULA", 데이터_원천!E2:E101)</f>
        <v/>
      </c>
      <c r="H7" s="16">
        <f>AVERAGEIF(데이터_원천!G2:G101, "AULA", 데이터_원천!E2:E101)</f>
        <v/>
      </c>
    </row>
    <row r="8">
      <c r="B8" s="5" t="inlineStr">
        <is>
          <t>COX</t>
        </is>
      </c>
      <c r="C8" s="9">
        <f>COUNTIF(데이터_원천!G2:G101, "COX")</f>
        <v/>
      </c>
      <c r="D8" s="11">
        <f>AVERAGEIF(데이터_원천!G2:G101, "COX", 데이터_원천!C2:C101)</f>
        <v/>
      </c>
      <c r="E8" s="11">
        <f>MINIFS(데이터_원천!C2:C101, 데이터_원천!G2:G101, "COX")</f>
        <v/>
      </c>
      <c r="F8" s="11">
        <f>MAXIFS(데이터_원천!C2:C101, 데이터_원천!G2:G101, "COX")</f>
        <v/>
      </c>
      <c r="G8" s="9">
        <f>SUMIF(데이터_원천!G2:G101, "COX", 데이터_원천!E2:E101)</f>
        <v/>
      </c>
      <c r="H8" s="16">
        <f>AVERAGEIF(데이터_원천!G2:G101, "COX", 데이터_원천!E2:E101)</f>
        <v/>
      </c>
    </row>
    <row r="9">
      <c r="B9" s="5" t="inlineStr">
        <is>
          <t>커세어</t>
        </is>
      </c>
      <c r="C9" s="9">
        <f>COUNTIF(데이터_원천!G2:G101, "커세어")</f>
        <v/>
      </c>
      <c r="D9" s="11">
        <f>AVERAGEIF(데이터_원천!G2:G101, "커세어", 데이터_원천!C2:C101)</f>
        <v/>
      </c>
      <c r="E9" s="11">
        <f>MINIFS(데이터_원천!C2:C101, 데이터_원천!G2:G101, "커세어")</f>
        <v/>
      </c>
      <c r="F9" s="11">
        <f>MAXIFS(데이터_원천!C2:C101, 데이터_원천!G2:G101, "커세어")</f>
        <v/>
      </c>
      <c r="G9" s="9">
        <f>SUMIF(데이터_원천!G2:G101, "커세어", 데이터_원천!E2:E101)</f>
        <v/>
      </c>
      <c r="H9" s="16">
        <f>AVERAGEIF(데이터_원천!G2:G101, "커세어", 데이터_원천!E2:E101)</f>
        <v/>
      </c>
    </row>
    <row r="10">
      <c r="B10" s="5" t="inlineStr">
        <is>
          <t>FL-ESPORTS</t>
        </is>
      </c>
      <c r="C10" s="9">
        <f>COUNTIF(데이터_원천!G2:G101, "FL-ESPORTS")</f>
        <v/>
      </c>
      <c r="D10" s="11">
        <f>AVERAGEIF(데이터_원천!G2:G101, "FL-ESPORTS", 데이터_원천!C2:C101)</f>
        <v/>
      </c>
      <c r="E10" s="11">
        <f>MINIFS(데이터_원천!C2:C101, 데이터_원천!G2:G101, "FL-ESPORTS")</f>
        <v/>
      </c>
      <c r="F10" s="11">
        <f>MAXIFS(데이터_원천!C2:C101, 데이터_원천!G2:G101, "FL-ESPORTS")</f>
        <v/>
      </c>
      <c r="G10" s="9">
        <f>SUMIF(데이터_원천!G2:G101, "FL-ESPORTS", 데이터_원천!E2:E101)</f>
        <v/>
      </c>
      <c r="H10" s="16">
        <f>AVERAGEIF(데이터_원천!G2:G101, "FL-ESPORTS", 데이터_원천!E2:E101)</f>
        <v/>
      </c>
    </row>
    <row r="11">
      <c r="B11" s="5" t="inlineStr">
        <is>
          <t>프리플로우</t>
        </is>
      </c>
      <c r="C11" s="9">
        <f>COUNTIF(데이터_원천!G2:G101, "프리플로우")</f>
        <v/>
      </c>
      <c r="D11" s="11">
        <f>AVERAGEIF(데이터_원천!G2:G101, "프리플로우", 데이터_원천!C2:C101)</f>
        <v/>
      </c>
      <c r="E11" s="11">
        <f>MINIFS(데이터_원천!C2:C101, 데이터_원천!G2:G101, "프리플로우")</f>
        <v/>
      </c>
      <c r="F11" s="11">
        <f>MAXIFS(데이터_원천!C2:C101, 데이터_원천!G2:G101, "프리플로우")</f>
        <v/>
      </c>
      <c r="G11" s="9">
        <f>SUMIF(데이터_원천!G2:G101, "프리플로우", 데이터_원천!E2:E101)</f>
        <v/>
      </c>
      <c r="H11" s="16">
        <f>AVERAGEIF(데이터_원천!G2:G101, "프리플로우", 데이터_원천!E2:E101)</f>
        <v/>
      </c>
    </row>
    <row r="12">
      <c r="B12" s="5" t="inlineStr">
        <is>
          <t>한성컴퓨터</t>
        </is>
      </c>
      <c r="C12" s="9">
        <f>COUNTIF(데이터_원천!G2:G101, "한성컴퓨터")</f>
        <v/>
      </c>
      <c r="D12" s="11">
        <f>AVERAGEIF(데이터_원천!G2:G101, "한성컴퓨터", 데이터_원천!C2:C101)</f>
        <v/>
      </c>
      <c r="E12" s="11">
        <f>MINIFS(데이터_원천!C2:C101, 데이터_원천!G2:G101, "한성컴퓨터")</f>
        <v/>
      </c>
      <c r="F12" s="11">
        <f>MAXIFS(데이터_원천!C2:C101, 데이터_원천!G2:G101, "한성컴퓨터")</f>
        <v/>
      </c>
      <c r="G12" s="9">
        <f>SUMIF(데이터_원천!G2:G101, "한성컴퓨터", 데이터_원천!E2:E101)</f>
        <v/>
      </c>
      <c r="H12" s="16">
        <f>AVERAGEIF(데이터_원천!G2:G101, "한성컴퓨터", 데이터_원천!E2:E101)</f>
        <v/>
      </c>
    </row>
    <row r="13">
      <c r="B13" s="5" t="inlineStr">
        <is>
          <t>QSENN</t>
        </is>
      </c>
      <c r="C13" s="9">
        <f>COUNTIF(데이터_원천!G2:G101, "QSENN")</f>
        <v/>
      </c>
      <c r="D13" s="11">
        <f>AVERAGEIF(데이터_원천!G2:G101, "QSENN", 데이터_원천!C2:C101)</f>
        <v/>
      </c>
      <c r="E13" s="11">
        <f>MINIFS(데이터_원천!C2:C101, 데이터_원천!G2:G101, "QSENN")</f>
        <v/>
      </c>
      <c r="F13" s="11">
        <f>MAXIFS(데이터_원천!C2:C101, 데이터_원천!G2:G101, "QSENN")</f>
        <v/>
      </c>
      <c r="G13" s="9">
        <f>SUMIF(데이터_원천!G2:G101, "QSENN", 데이터_원천!E2:E101)</f>
        <v/>
      </c>
      <c r="H13" s="16">
        <f>AVERAGEIF(데이터_원천!G2:G101, "QSENN", 데이터_원천!E2:E101)</f>
        <v/>
      </c>
    </row>
    <row r="14">
      <c r="B14" s="5" t="inlineStr">
        <is>
          <t>CHERRY</t>
        </is>
      </c>
      <c r="C14" s="9">
        <f>COUNTIF(데이터_원천!G2:G101, "CHERRY")</f>
        <v/>
      </c>
      <c r="D14" s="11">
        <f>AVERAGEIF(데이터_원천!G2:G101, "CHERRY", 데이터_원천!C2:C101)</f>
        <v/>
      </c>
      <c r="E14" s="11">
        <f>MINIFS(데이터_원천!C2:C101, 데이터_원천!G2:G101, "CHERRY")</f>
        <v/>
      </c>
      <c r="F14" s="11">
        <f>MAXIFS(데이터_원천!C2:C101, 데이터_원천!G2:G101, "CHERRY")</f>
        <v/>
      </c>
      <c r="G14" s="9">
        <f>SUMIF(데이터_원천!G2:G101, "CHERRY", 데이터_원천!E2:E101)</f>
        <v/>
      </c>
      <c r="H14" s="16">
        <f>AVERAGEIF(데이터_원천!G2:G101, "CHERRY", 데이터_원천!E2:E101)</f>
        <v/>
      </c>
    </row>
    <row r="15">
      <c r="B15" s="5" t="inlineStr">
        <is>
          <t>지클릭커</t>
        </is>
      </c>
      <c r="C15" s="9">
        <f>COUNTIF(데이터_원천!G2:G101, "지클릭커")</f>
        <v/>
      </c>
      <c r="D15" s="11">
        <f>AVERAGEIF(데이터_원천!G2:G101, "지클릭커", 데이터_원천!C2:C101)</f>
        <v/>
      </c>
      <c r="E15" s="11">
        <f>MINIFS(데이터_원천!C2:C101, 데이터_원천!G2:G101, "지클릭커")</f>
        <v/>
      </c>
      <c r="F15" s="11">
        <f>MAXIFS(데이터_원천!C2:C101, 데이터_원천!G2:G101, "지클릭커")</f>
        <v/>
      </c>
      <c r="G15" s="9">
        <f>SUMIF(데이터_원천!G2:G101, "지클릭커", 데이터_원천!E2:E101)</f>
        <v/>
      </c>
      <c r="H15" s="16">
        <f>AVERAGEIF(데이터_원천!G2:G101, "지클릭커", 데이터_원천!E2:E101)</f>
        <v/>
      </c>
    </row>
    <row r="16">
      <c r="B16" s="5" t="inlineStr">
        <is>
          <t>darkFlash</t>
        </is>
      </c>
      <c r="C16" s="9">
        <f>COUNTIF(데이터_원천!G2:G101, "darkFlash")</f>
        <v/>
      </c>
      <c r="D16" s="11">
        <f>AVERAGEIF(데이터_원천!G2:G101, "darkFlash", 데이터_원천!C2:C101)</f>
        <v/>
      </c>
      <c r="E16" s="11">
        <f>MINIFS(데이터_원천!C2:C101, 데이터_원천!G2:G101, "darkFlash")</f>
        <v/>
      </c>
      <c r="F16" s="11">
        <f>MAXIFS(데이터_원천!C2:C101, 데이터_원천!G2:G101, "darkFlash")</f>
        <v/>
      </c>
      <c r="G16" s="9">
        <f>SUMIF(데이터_원천!G2:G101, "darkFlash", 데이터_원천!E2:E101)</f>
        <v/>
      </c>
      <c r="H16" s="16">
        <f>AVERAGEIF(데이터_원천!G2:G101, "darkFlash", 데이터_원천!E2:E101)</f>
        <v/>
      </c>
    </row>
    <row r="17">
      <c r="B17" s="5" t="inlineStr">
        <is>
          <t>RAZER</t>
        </is>
      </c>
      <c r="C17" s="9">
        <f>COUNTIF(데이터_원천!G2:G101, "RAZER")</f>
        <v/>
      </c>
      <c r="D17" s="11">
        <f>AVERAGEIF(데이터_원천!G2:G101, "RAZER", 데이터_원천!C2:C101)</f>
        <v/>
      </c>
      <c r="E17" s="11">
        <f>MINIFS(데이터_원천!C2:C101, 데이터_원천!G2:G101, "RAZER")</f>
        <v/>
      </c>
      <c r="F17" s="11">
        <f>MAXIFS(데이터_원천!C2:C101, 데이터_원천!G2:G101, "RAZER")</f>
        <v/>
      </c>
      <c r="G17" s="9">
        <f>SUMIF(데이터_원천!G2:G101, "RAZER", 데이터_원천!E2:E101)</f>
        <v/>
      </c>
      <c r="H17" s="16">
        <f>AVERAGEIF(데이터_원천!G2:G101, "RAZER", 데이터_원천!E2:E101)</f>
        <v/>
      </c>
    </row>
    <row r="18">
      <c r="B18" s="5" t="inlineStr">
        <is>
          <t>Nillkin</t>
        </is>
      </c>
      <c r="C18" s="9">
        <f>COUNTIF(데이터_원천!G2:G101, "Nillkin")</f>
        <v/>
      </c>
      <c r="D18" s="11">
        <f>AVERAGEIF(데이터_원천!G2:G101, "Nillkin", 데이터_원천!C2:C101)</f>
        <v/>
      </c>
      <c r="E18" s="11">
        <f>MINIFS(데이터_원천!C2:C101, 데이터_원천!G2:G101, "Nillkin")</f>
        <v/>
      </c>
      <c r="F18" s="11">
        <f>MAXIFS(데이터_원천!C2:C101, 데이터_원천!G2:G101, "Nillkin")</f>
        <v/>
      </c>
      <c r="G18" s="9">
        <f>SUMIF(데이터_원천!G2:G101, "Nillkin", 데이터_원천!E2:E101)</f>
        <v/>
      </c>
      <c r="H18" s="16">
        <f>AVERAGEIF(데이터_원천!G2:G101, "Nillkin", 데이터_원천!E2:E101)</f>
        <v/>
      </c>
    </row>
    <row r="19">
      <c r="B19" s="5" t="inlineStr">
        <is>
          <t>SPM</t>
        </is>
      </c>
      <c r="C19" s="9">
        <f>COUNTIF(데이터_원천!G2:G101, "SPM")</f>
        <v/>
      </c>
      <c r="D19" s="11">
        <f>AVERAGEIF(데이터_원천!G2:G101, "SPM", 데이터_원천!C2:C101)</f>
        <v/>
      </c>
      <c r="E19" s="11">
        <f>MINIFS(데이터_원천!C2:C101, 데이터_원천!G2:G101, "SPM")</f>
        <v/>
      </c>
      <c r="F19" s="11">
        <f>MAXIFS(데이터_원천!C2:C101, 데이터_원천!G2:G101, "SPM")</f>
        <v/>
      </c>
      <c r="G19" s="9">
        <f>SUMIF(데이터_원천!G2:G101, "SPM", 데이터_원천!E2:E101)</f>
        <v/>
      </c>
      <c r="H19" s="16">
        <f>AVERAGEIF(데이터_원천!G2:G101, "SPM", 데이터_원천!E2:E101)</f>
        <v/>
      </c>
    </row>
    <row r="20">
      <c r="B20" s="5" t="inlineStr">
        <is>
          <t>주연테크</t>
        </is>
      </c>
      <c r="C20" s="9">
        <f>COUNTIF(데이터_원천!G2:G101, "주연테크")</f>
        <v/>
      </c>
      <c r="D20" s="11">
        <f>AVERAGEIF(데이터_원천!G2:G101, "주연테크", 데이터_원천!C2:C101)</f>
        <v/>
      </c>
      <c r="E20" s="11">
        <f>MINIFS(데이터_원천!C2:C101, 데이터_원천!G2:G101, "주연테크")</f>
        <v/>
      </c>
      <c r="F20" s="11">
        <f>MAXIFS(데이터_원천!C2:C101, 데이터_원천!G2:G101, "주연테크")</f>
        <v/>
      </c>
      <c r="G20" s="9">
        <f>SUMIF(데이터_원천!G2:G101, "주연테크", 데이터_원천!E2:E101)</f>
        <v/>
      </c>
      <c r="H20" s="16">
        <f>AVERAGEIF(데이터_원천!G2:G101, "주연테크", 데이터_원천!E2:E101)</f>
        <v/>
      </c>
    </row>
    <row r="21">
      <c r="B21" s="5" t="inlineStr">
        <is>
          <t>ASUS</t>
        </is>
      </c>
      <c r="C21" s="9">
        <f>COUNTIF(데이터_원천!G2:G101, "ASUS")</f>
        <v/>
      </c>
      <c r="D21" s="11">
        <f>AVERAGEIF(데이터_원천!G2:G101, "ASUS", 데이터_원천!C2:C101)</f>
        <v/>
      </c>
      <c r="E21" s="11">
        <f>MINIFS(데이터_원천!C2:C101, 데이터_원천!G2:G101, "ASUS")</f>
        <v/>
      </c>
      <c r="F21" s="11">
        <f>MAXIFS(데이터_원천!C2:C101, 데이터_원천!G2:G101, "ASUS")</f>
        <v/>
      </c>
      <c r="G21" s="9">
        <f>SUMIF(데이터_원천!G2:G101, "ASUS", 데이터_원천!E2:E101)</f>
        <v/>
      </c>
      <c r="H21" s="16">
        <f>AVERAGEIF(데이터_원천!G2:G101, "ASUS", 데이터_원천!E2:E101)</f>
        <v/>
      </c>
    </row>
    <row r="22">
      <c r="B22" s="5" t="inlineStr">
        <is>
          <t>글로리어스</t>
        </is>
      </c>
      <c r="C22" s="9">
        <f>COUNTIF(데이터_원천!G2:G101, "글로리어스")</f>
        <v/>
      </c>
      <c r="D22" s="11">
        <f>AVERAGEIF(데이터_원천!G2:G101, "글로리어스", 데이터_원천!C2:C101)</f>
        <v/>
      </c>
      <c r="E22" s="11">
        <f>MINIFS(데이터_원천!C2:C101, 데이터_원천!G2:G101, "글로리어스")</f>
        <v/>
      </c>
      <c r="F22" s="11">
        <f>MAXIFS(데이터_원천!C2:C101, 데이터_원천!G2:G101, "글로리어스")</f>
        <v/>
      </c>
      <c r="G22" s="9">
        <f>SUMIF(데이터_원천!G2:G101, "글로리어스", 데이터_원천!E2:E101)</f>
        <v/>
      </c>
      <c r="H22" s="16">
        <f>AVERAGEIF(데이터_원천!G2:G101, "글로리어스", 데이터_원천!E2:E101)</f>
        <v/>
      </c>
    </row>
    <row r="23">
      <c r="B23" s="5" t="inlineStr">
        <is>
          <t>KiiBOOM</t>
        </is>
      </c>
      <c r="C23" s="9">
        <f>COUNTIF(데이터_원천!G2:G101, "KiiBOOM")</f>
        <v/>
      </c>
      <c r="D23" s="11">
        <f>AVERAGEIF(데이터_원천!G2:G101, "KiiBOOM", 데이터_원천!C2:C101)</f>
        <v/>
      </c>
      <c r="E23" s="11">
        <f>MINIFS(데이터_원천!C2:C101, 데이터_원천!G2:G101, "KiiBOOM")</f>
        <v/>
      </c>
      <c r="F23" s="11">
        <f>MAXIFS(데이터_원천!C2:C101, 데이터_원천!G2:G101, "KiiBOOM")</f>
        <v/>
      </c>
      <c r="G23" s="9">
        <f>SUMIF(데이터_원천!G2:G101, "KiiBOOM", 데이터_원천!E2:E101)</f>
        <v/>
      </c>
      <c r="H23" s="16">
        <f>AVERAGEIF(데이터_원천!G2:G101, "KiiBOOM", 데이터_원천!E2:E101)</f>
        <v/>
      </c>
    </row>
    <row r="24">
      <c r="B24" s="5" t="inlineStr">
        <is>
          <t>STCOM</t>
        </is>
      </c>
      <c r="C24" s="9">
        <f>COUNTIF(데이터_원천!G2:G101, "STCOM")</f>
        <v/>
      </c>
      <c r="D24" s="11">
        <f>AVERAGEIF(데이터_원천!G2:G101, "STCOM", 데이터_원천!C2:C101)</f>
        <v/>
      </c>
      <c r="E24" s="11">
        <f>MINIFS(데이터_원천!C2:C101, 데이터_원천!G2:G101, "STCOM")</f>
        <v/>
      </c>
      <c r="F24" s="11">
        <f>MAXIFS(데이터_원천!C2:C101, 데이터_원천!G2:G101, "STCOM")</f>
        <v/>
      </c>
      <c r="G24" s="9">
        <f>SUMIF(데이터_원천!G2:G101, "STCOM", 데이터_원천!E2:E101)</f>
        <v/>
      </c>
      <c r="H24" s="16">
        <f>AVERAGEIF(데이터_원천!G2:G101, "STCOM", 데이터_원천!E2:E101)</f>
        <v/>
      </c>
    </row>
    <row r="25">
      <c r="B25" s="5" t="inlineStr">
        <is>
          <t>마이크로닉스</t>
        </is>
      </c>
      <c r="C25" s="9">
        <f>COUNTIF(데이터_원천!G2:G101, "마이크로닉스")</f>
        <v/>
      </c>
      <c r="D25" s="11">
        <f>AVERAGEIF(데이터_원천!G2:G101, "마이크로닉스", 데이터_원천!C2:C101)</f>
        <v/>
      </c>
      <c r="E25" s="11">
        <f>MINIFS(데이터_원천!C2:C101, 데이터_원천!G2:G101, "마이크로닉스")</f>
        <v/>
      </c>
      <c r="F25" s="11">
        <f>MAXIFS(데이터_원천!C2:C101, 데이터_원천!G2:G101, "마이크로닉스")</f>
        <v/>
      </c>
      <c r="G25" s="9">
        <f>SUMIF(데이터_원천!G2:G101, "마이크로닉스", 데이터_원천!E2:E101)</f>
        <v/>
      </c>
      <c r="H25" s="16">
        <f>AVERAGEIF(데이터_원천!G2:G101, "마이크로닉스", 데이터_원천!E2:E101)</f>
        <v/>
      </c>
    </row>
    <row r="26">
      <c r="B26" s="5" t="inlineStr">
        <is>
          <t>삼성전자</t>
        </is>
      </c>
      <c r="C26" s="9">
        <f>COUNTIF(데이터_원천!G2:G101, "삼성전자")</f>
        <v/>
      </c>
      <c r="D26" s="11">
        <f>AVERAGEIF(데이터_원천!G2:G101, "삼성전자", 데이터_원천!C2:C101)</f>
        <v/>
      </c>
      <c r="E26" s="11">
        <f>MINIFS(데이터_원천!C2:C101, 데이터_원천!G2:G101, "삼성전자")</f>
        <v/>
      </c>
      <c r="F26" s="11">
        <f>MAXIFS(데이터_원천!C2:C101, 데이터_원천!G2:G101, "삼성전자")</f>
        <v/>
      </c>
      <c r="G26" s="9">
        <f>SUMIF(데이터_원천!G2:G101, "삼성전자", 데이터_원천!E2:E101)</f>
        <v/>
      </c>
      <c r="H26" s="16">
        <f>AVERAGEIF(데이터_원천!G2:G101, "삼성전자", 데이터_원천!E2:E101)</f>
        <v/>
      </c>
    </row>
    <row r="27">
      <c r="B27" s="12" t="inlineStr">
        <is>
          <t>합계 / 전체 평균</t>
        </is>
      </c>
      <c r="C27" s="13">
        <f>SUM(C5:C26)</f>
        <v/>
      </c>
      <c r="D27" s="15">
        <f>AVERAGE(데이터_원천!C2:C101)</f>
        <v/>
      </c>
      <c r="E27" s="15">
        <f>MIN(데이터_원천!C2:C101)</f>
        <v/>
      </c>
      <c r="F27" s="15">
        <f>MAX(데이터_원천!C2:C101)</f>
        <v/>
      </c>
      <c r="G27" s="13">
        <f>SUM(G5:G26)</f>
        <v/>
      </c>
      <c r="H27" s="17">
        <f>AVERAGE(데이터_원천!E2:E101)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.1" customWidth="1" min="2" max="2"/>
    <col width="50.7" customWidth="1" min="3" max="3"/>
    <col width="19" customWidth="1" min="4" max="4"/>
    <col width="75.90000000000001" customWidth="1" min="5" max="5"/>
    <col width="68.2" customWidth="1" min="6" max="6"/>
  </cols>
  <sheetData>
    <row r="1"/>
    <row r="2">
      <c r="B2" s="1" t="inlineStr">
        <is>
          <t>연결 방식 및 스위치 종류별 통계</t>
        </is>
      </c>
    </row>
    <row r="3"/>
    <row r="4">
      <c r="B4" s="3" t="inlineStr">
        <is>
          <t>1. 연결 방식별 현황</t>
        </is>
      </c>
    </row>
    <row r="5">
      <c r="B5" s="4" t="inlineStr">
        <is>
          <t>연결 방식</t>
        </is>
      </c>
      <c r="C5" s="4" t="inlineStr">
        <is>
          <t>제품 수(개)</t>
        </is>
      </c>
      <c r="D5" s="4" t="inlineStr">
        <is>
          <t>비중(%)</t>
        </is>
      </c>
      <c r="E5" s="4" t="inlineStr">
        <is>
          <t>평균 가격(원)</t>
        </is>
      </c>
      <c r="F5" s="4" t="inlineStr">
        <is>
          <t>총 리뷰 수(개)</t>
        </is>
      </c>
    </row>
    <row r="6">
      <c r="B6" s="5" t="inlineStr">
        <is>
          <t>유선</t>
        </is>
      </c>
      <c r="C6" s="9">
        <f>COUNTIF(데이터_원천!D2:D101, "유선")</f>
        <v/>
      </c>
      <c r="D6" s="10">
        <f>C6/C10</f>
        <v/>
      </c>
      <c r="E6" s="11">
        <f>AVERAGEIF(데이터_원천!D2:D101, "유선", 데이터_원천!C2:C101)</f>
        <v/>
      </c>
      <c r="F6" s="9">
        <f>SUMIF(데이터_원천!D2:D101, "유선", 데이터_원천!E2:E101)</f>
        <v/>
      </c>
    </row>
    <row r="7">
      <c r="B7" s="5" t="inlineStr">
        <is>
          <t>유선+무선</t>
        </is>
      </c>
      <c r="C7" s="9">
        <f>COUNTIF(데이터_원천!D2:D101, "유선+무선")</f>
        <v/>
      </c>
      <c r="D7" s="10">
        <f>C7/C10</f>
        <v/>
      </c>
      <c r="E7" s="11">
        <f>AVERAGEIF(데이터_원천!D2:D101, "유선+무선", 데이터_원천!C2:C101)</f>
        <v/>
      </c>
      <c r="F7" s="9">
        <f>SUMIF(데이터_원천!D2:D101, "유선+무선", 데이터_원천!E2:E101)</f>
        <v/>
      </c>
    </row>
    <row r="8">
      <c r="B8" s="5" t="inlineStr">
        <is>
          <t>무선</t>
        </is>
      </c>
      <c r="C8" s="9">
        <f>COUNTIF(데이터_원천!D2:D101, "무선")</f>
        <v/>
      </c>
      <c r="D8" s="10">
        <f>C8/C10</f>
        <v/>
      </c>
      <c r="E8" s="11">
        <f>AVERAGEIF(데이터_원천!D2:D101, "무선", 데이터_원천!C2:C101)</f>
        <v/>
      </c>
      <c r="F8" s="9">
        <f>SUMIF(데이터_원천!D2:D101, "무선", 데이터_원천!E2:E101)</f>
        <v/>
      </c>
    </row>
    <row r="9">
      <c r="B9" s="5" t="inlineStr">
        <is>
          <t>기타/미표기</t>
        </is>
      </c>
      <c r="C9" s="9">
        <f>COUNTIF(데이터_원천!D2:D101, "기타/미표기")</f>
        <v/>
      </c>
      <c r="D9" s="10">
        <f>C9/C10</f>
        <v/>
      </c>
      <c r="E9" s="11">
        <f>AVERAGEIF(데이터_원천!D2:D101, "기타/미표기", 데이터_원천!C2:C101)</f>
        <v/>
      </c>
      <c r="F9" s="9">
        <f>SUMIF(데이터_원천!D2:D101, "기타/미표기", 데이터_원천!E2:E101)</f>
        <v/>
      </c>
    </row>
    <row r="10">
      <c r="B10" s="12" t="inlineStr">
        <is>
          <t>합계</t>
        </is>
      </c>
      <c r="C10" s="13">
        <f>SUM(C6:C9)</f>
        <v/>
      </c>
      <c r="D10" s="14">
        <f>SUM(D6:D9)</f>
        <v/>
      </c>
      <c r="E10" s="15">
        <f>AVERAGE(데이터_원천!C2:C101)</f>
        <v/>
      </c>
      <c r="F10" s="13">
        <f>SUM(F6:F9)</f>
        <v/>
      </c>
    </row>
    <row r="11"/>
    <row r="12"/>
    <row r="13">
      <c r="B13" s="3" t="inlineStr">
        <is>
          <t>2. 주요 스위치/축별 현황</t>
        </is>
      </c>
    </row>
    <row r="14">
      <c r="B14" s="8" t="inlineStr">
        <is>
          <t>스위치 종류</t>
        </is>
      </c>
      <c r="C14" s="8" t="inlineStr">
        <is>
          <t>제품 수(개)</t>
        </is>
      </c>
      <c r="D14" s="8" t="inlineStr">
        <is>
          <t>비중(%)</t>
        </is>
      </c>
      <c r="E14" s="8" t="inlineStr">
        <is>
          <t>평균 가격(원)</t>
        </is>
      </c>
      <c r="F14" s="8" t="inlineStr">
        <is>
          <t>총 리뷰 수(개)</t>
        </is>
      </c>
    </row>
    <row r="15">
      <c r="B15" s="5" t="inlineStr">
        <is>
          <t>일반/미표기</t>
        </is>
      </c>
      <c r="C15" s="9">
        <f>COUNTIF(데이터_원천!B2:B101, "일반/미표기")</f>
        <v/>
      </c>
      <c r="D15" s="10">
        <f>C15/C35</f>
        <v/>
      </c>
      <c r="E15" s="11">
        <f>AVERAGEIF(데이터_원천!B2:B101, "일반/미표기", 데이터_원천!C2:C101)</f>
        <v/>
      </c>
      <c r="F15" s="9">
        <f>SUMIF(데이터_원천!B2:B101, "일반/미표기", 데이터_원천!E2:E101)</f>
        <v/>
      </c>
    </row>
    <row r="16">
      <c r="B16" s="5" t="inlineStr">
        <is>
          <t>저소음 바다축</t>
        </is>
      </c>
      <c r="C16" s="9">
        <f>COUNTIF(데이터_원천!B2:B101, "저소음 바다축")</f>
        <v/>
      </c>
      <c r="D16" s="10">
        <f>C16/C35</f>
        <v/>
      </c>
      <c r="E16" s="11">
        <f>AVERAGEIF(데이터_원천!B2:B101, "저소음 바다축", 데이터_원천!C2:C101)</f>
        <v/>
      </c>
      <c r="F16" s="9">
        <f>SUMIF(데이터_원천!B2:B101, "저소음 바다축", 데이터_원천!E2:E101)</f>
        <v/>
      </c>
    </row>
    <row r="17">
      <c r="B17" s="5" t="inlineStr">
        <is>
          <t>적축</t>
        </is>
      </c>
      <c r="C17" s="9">
        <f>COUNTIF(데이터_원천!B2:B101, "적축")</f>
        <v/>
      </c>
      <c r="D17" s="10">
        <f>C17/C35</f>
        <v/>
      </c>
      <c r="E17" s="11">
        <f>AVERAGEIF(데이터_원천!B2:B101, "적축", 데이터_원천!C2:C101)</f>
        <v/>
      </c>
      <c r="F17" s="9">
        <f>SUMIF(데이터_원천!B2:B101, "적축", 데이터_원천!E2:E101)</f>
        <v/>
      </c>
    </row>
    <row r="18">
      <c r="B18" s="5" t="inlineStr">
        <is>
          <t>갈축</t>
        </is>
      </c>
      <c r="C18" s="9">
        <f>COUNTIF(데이터_원천!B2:B101, "갈축")</f>
        <v/>
      </c>
      <c r="D18" s="10">
        <f>C18/C35</f>
        <v/>
      </c>
      <c r="E18" s="11">
        <f>AVERAGEIF(데이터_원천!B2:B101, "갈축", 데이터_원천!C2:C101)</f>
        <v/>
      </c>
      <c r="F18" s="9">
        <f>SUMIF(데이터_원천!B2:B101, "갈축", 데이터_원천!E2:E101)</f>
        <v/>
      </c>
    </row>
    <row r="19">
      <c r="B19" s="5" t="inlineStr">
        <is>
          <t>레몬축</t>
        </is>
      </c>
      <c r="C19" s="9">
        <f>COUNTIF(데이터_원천!B2:B101, "레몬축")</f>
        <v/>
      </c>
      <c r="D19" s="10">
        <f>C19/C35</f>
        <v/>
      </c>
      <c r="E19" s="11">
        <f>AVERAGEIF(데이터_원천!B2:B101, "레몬축", 데이터_원천!C2:C101)</f>
        <v/>
      </c>
      <c r="F19" s="9">
        <f>SUMIF(데이터_원천!B2:B101, "레몬축", 데이터_원천!E2:E101)</f>
        <v/>
      </c>
    </row>
    <row r="20">
      <c r="B20" s="5" t="inlineStr">
        <is>
          <t>저소음 피치축 V2</t>
        </is>
      </c>
      <c r="C20" s="9">
        <f>COUNTIF(데이터_원천!B2:B101, "저소음 피치축 V2")</f>
        <v/>
      </c>
      <c r="D20" s="10">
        <f>C20/C35</f>
        <v/>
      </c>
      <c r="E20" s="11">
        <f>AVERAGEIF(데이터_원천!B2:B101, "저소음 피치축 V2", 데이터_원천!C2:C101)</f>
        <v/>
      </c>
      <c r="F20" s="9">
        <f>SUMIF(데이터_원천!B2:B101, "저소음 피치축 V2", 데이터_원천!E2:E101)</f>
        <v/>
      </c>
    </row>
    <row r="21">
      <c r="B21" s="5" t="inlineStr">
        <is>
          <t>저소음 피치축</t>
        </is>
      </c>
      <c r="C21" s="9">
        <f>COUNTIF(데이터_원천!B2:B101, "저소음 피치축")</f>
        <v/>
      </c>
      <c r="D21" s="10">
        <f>C21/C35</f>
        <v/>
      </c>
      <c r="E21" s="11">
        <f>AVERAGEIF(데이터_원천!B2:B101, "저소음 피치축", 데이터_원천!C2:C101)</f>
        <v/>
      </c>
      <c r="F21" s="9">
        <f>SUMIF(데이터_원천!B2:B101, "저소음 피치축", 데이터_원천!E2:E101)</f>
        <v/>
      </c>
    </row>
    <row r="22">
      <c r="B22" s="5" t="inlineStr">
        <is>
          <t>저소음 스톰축</t>
        </is>
      </c>
      <c r="C22" s="9">
        <f>COUNTIF(데이터_원천!B2:B101, "저소음 스톰축")</f>
        <v/>
      </c>
      <c r="D22" s="10">
        <f>C22/C35</f>
        <v/>
      </c>
      <c r="E22" s="11">
        <f>AVERAGEIF(데이터_원천!B2:B101, "저소음 스톰축", 데이터_원천!C2:C101)</f>
        <v/>
      </c>
      <c r="F22" s="9">
        <f>SUMIF(데이터_원천!B2:B101, "저소음 스톰축", 데이터_원천!E2:E101)</f>
        <v/>
      </c>
    </row>
    <row r="23">
      <c r="B23" s="5" t="inlineStr">
        <is>
          <t>소복눈축</t>
        </is>
      </c>
      <c r="C23" s="9">
        <f>COUNTIF(데이터_원천!B2:B101, "소복눈축")</f>
        <v/>
      </c>
      <c r="D23" s="10">
        <f>C23/C35</f>
        <v/>
      </c>
      <c r="E23" s="11">
        <f>AVERAGEIF(데이터_원천!B2:B101, "소복눈축", 데이터_원천!C2:C101)</f>
        <v/>
      </c>
      <c r="F23" s="9">
        <f>SUMIF(데이터_원천!B2:B101, "소복눈축", 데이터_원천!E2:E101)</f>
        <v/>
      </c>
    </row>
    <row r="24">
      <c r="B24" s="5" t="inlineStr">
        <is>
          <t>저소음 솜사탕축</t>
        </is>
      </c>
      <c r="C24" s="9">
        <f>COUNTIF(데이터_원천!B2:B101, "저소음 솜사탕축")</f>
        <v/>
      </c>
      <c r="D24" s="10">
        <f>C24/C35</f>
        <v/>
      </c>
      <c r="E24" s="11">
        <f>AVERAGEIF(데이터_원천!B2:B101, "저소음 솜사탕축", 데이터_원천!C2:C101)</f>
        <v/>
      </c>
      <c r="F24" s="9">
        <f>SUMIF(데이터_원천!B2:B101, "저소음 솜사탕축", 데이터_원천!E2:E101)</f>
        <v/>
      </c>
    </row>
    <row r="25">
      <c r="B25" s="5" t="inlineStr">
        <is>
          <t>저소음 바다소금축</t>
        </is>
      </c>
      <c r="C25" s="9">
        <f>COUNTIF(데이터_원천!B2:B101, "저소음 바다소금축")</f>
        <v/>
      </c>
      <c r="D25" s="10">
        <f>C25/C35</f>
        <v/>
      </c>
      <c r="E25" s="11">
        <f>AVERAGEIF(데이터_원천!B2:B101, "저소음 바다소금축", 데이터_원천!C2:C101)</f>
        <v/>
      </c>
      <c r="F25" s="9">
        <f>SUMIF(데이터_원천!B2:B101, "저소음 바다소금축", 데이터_원천!E2:E101)</f>
        <v/>
      </c>
    </row>
    <row r="26">
      <c r="B26" s="5" t="inlineStr">
        <is>
          <t>SNOW축</t>
        </is>
      </c>
      <c r="C26" s="9">
        <f>COUNTIF(데이터_원천!B2:B101, "SNOW축")</f>
        <v/>
      </c>
      <c r="D26" s="10">
        <f>C26/C35</f>
        <v/>
      </c>
      <c r="E26" s="11">
        <f>AVERAGEIF(데이터_원천!B2:B101, "SNOW축", 데이터_원천!C2:C101)</f>
        <v/>
      </c>
      <c r="F26" s="9">
        <f>SUMIF(데이터_원천!B2:B101, "SNOW축", 데이터_원천!E2:E101)</f>
        <v/>
      </c>
    </row>
    <row r="27">
      <c r="B27" s="5" t="inlineStr">
        <is>
          <t>경해축</t>
        </is>
      </c>
      <c r="C27" s="9">
        <f>COUNTIF(데이터_원천!B2:B101, "경해축")</f>
        <v/>
      </c>
      <c r="D27" s="10">
        <f>C27/C35</f>
        <v/>
      </c>
      <c r="E27" s="11">
        <f>AVERAGEIF(데이터_원천!B2:B101, "경해축", 데이터_원천!C2:C101)</f>
        <v/>
      </c>
      <c r="F27" s="9">
        <f>SUMIF(데이터_원천!B2:B101, "경해축", 데이터_원천!E2:E101)</f>
        <v/>
      </c>
    </row>
    <row r="28">
      <c r="B28" s="5" t="inlineStr">
        <is>
          <t>멜론축</t>
        </is>
      </c>
      <c r="C28" s="9">
        <f>COUNTIF(데이터_원천!B2:B101, "멜론축")</f>
        <v/>
      </c>
      <c r="D28" s="10">
        <f>C28/C35</f>
        <v/>
      </c>
      <c r="E28" s="11">
        <f>AVERAGEIF(데이터_원천!B2:B101, "멜론축", 데이터_원천!C2:C101)</f>
        <v/>
      </c>
      <c r="F28" s="9">
        <f>SUMIF(데이터_원천!B2:B101, "멜론축", 데이터_원천!E2:E101)</f>
        <v/>
      </c>
    </row>
    <row r="29">
      <c r="B29" s="5" t="inlineStr">
        <is>
          <t>마그네틱축</t>
        </is>
      </c>
      <c r="C29" s="9">
        <f>COUNTIF(데이터_원천!B2:B101, "마그네틱축")</f>
        <v/>
      </c>
      <c r="D29" s="10">
        <f>C29/C35</f>
        <v/>
      </c>
      <c r="E29" s="11">
        <f>AVERAGEIF(데이터_원천!B2:B101, "마그네틱축", 데이터_원천!C2:C101)</f>
        <v/>
      </c>
      <c r="F29" s="9">
        <f>SUMIF(데이터_원천!B2:B101, "마그네틱축", 데이터_원천!E2:E101)</f>
        <v/>
      </c>
    </row>
    <row r="30">
      <c r="B30" s="5" t="inlineStr">
        <is>
          <t>햇살축</t>
        </is>
      </c>
      <c r="C30" s="9">
        <f>COUNTIF(데이터_원천!B2:B101, "햇살축")</f>
        <v/>
      </c>
      <c r="D30" s="10">
        <f>C30/C35</f>
        <v/>
      </c>
      <c r="E30" s="11">
        <f>AVERAGEIF(데이터_원천!B2:B101, "햇살축", 데이터_원천!C2:C101)</f>
        <v/>
      </c>
      <c r="F30" s="9">
        <f>SUMIF(데이터_원천!B2:B101, "햇살축", 데이터_원천!E2:E101)</f>
        <v/>
      </c>
    </row>
    <row r="31">
      <c r="B31" s="5" t="inlineStr">
        <is>
          <t>저소음 파도축</t>
        </is>
      </c>
      <c r="C31" s="9">
        <f>COUNTIF(데이터_원천!B2:B101, "저소음 파도축")</f>
        <v/>
      </c>
      <c r="D31" s="10">
        <f>C31/C35</f>
        <v/>
      </c>
      <c r="E31" s="11">
        <f>AVERAGEIF(데이터_원천!B2:B101, "저소음 파도축", 데이터_원천!C2:C101)</f>
        <v/>
      </c>
      <c r="F31" s="9">
        <f>SUMIF(데이터_원천!B2:B101, "저소음 파도축", 데이터_원천!E2:E101)</f>
        <v/>
      </c>
    </row>
    <row r="32">
      <c r="B32" s="5" t="inlineStr">
        <is>
          <t>클릭</t>
        </is>
      </c>
      <c r="C32" s="9">
        <f>COUNTIF(데이터_원천!B2:B101, "클릭")</f>
        <v/>
      </c>
      <c r="D32" s="10">
        <f>C32/C35</f>
        <v/>
      </c>
      <c r="E32" s="11">
        <f>AVERAGEIF(데이터_원천!B2:B101, "클릭", 데이터_원천!C2:C101)</f>
        <v/>
      </c>
      <c r="F32" s="9">
        <f>SUMIF(데이터_원천!B2:B101, "클릭", 데이터_원천!E2:E101)</f>
        <v/>
      </c>
    </row>
    <row r="33">
      <c r="B33" s="5" t="inlineStr">
        <is>
          <t>5+5개, 클릭/리니어</t>
        </is>
      </c>
      <c r="C33" s="9">
        <f>COUNTIF(데이터_원천!B2:B101, "5+5개, 클릭/리니어")</f>
        <v/>
      </c>
      <c r="D33" s="10">
        <f>C33/C35</f>
        <v/>
      </c>
      <c r="E33" s="11">
        <f>AVERAGEIF(데이터_원천!B2:B101, "5+5개, 클릭/리니어", 데이터_원천!C2:C101)</f>
        <v/>
      </c>
      <c r="F33" s="9">
        <f>SUMIF(데이터_원천!B2:B101, "5+5개, 클릭/리니어", 데이터_원천!E2:E101)</f>
        <v/>
      </c>
    </row>
    <row r="34">
      <c r="B34" s="5" t="inlineStr">
        <is>
          <t>세이야축</t>
        </is>
      </c>
      <c r="C34" s="9">
        <f>COUNTIF(데이터_원천!B2:B101, "세이야축")</f>
        <v/>
      </c>
      <c r="D34" s="10">
        <f>C34/C35</f>
        <v/>
      </c>
      <c r="E34" s="11">
        <f>AVERAGEIF(데이터_원천!B2:B101, "세이야축", 데이터_원천!C2:C101)</f>
        <v/>
      </c>
      <c r="F34" s="9">
        <f>SUMIF(데이터_원천!B2:B101, "세이야축", 데이터_원천!E2:E101)</f>
        <v/>
      </c>
    </row>
    <row r="35">
      <c r="B35" s="12" t="inlineStr">
        <is>
          <t>합계</t>
        </is>
      </c>
      <c r="C35" s="13">
        <f>SUM(C15:C34)</f>
        <v/>
      </c>
      <c r="D35" s="14">
        <f>SUM(D15:D34)</f>
        <v/>
      </c>
      <c r="E35" s="15">
        <f>AVERAGE(데이터_원천!C2:C101)</f>
        <v/>
      </c>
      <c r="F35" s="13">
        <f>SUM(F15:F34)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showGridLines="1" workbookViewId="0">
      <selection activeCell="A1" sqref="A1"/>
    </sheetView>
  </sheetViews>
  <sheetFormatPr baseColWidth="8" defaultRowHeight="15"/>
  <cols>
    <col width="72.59999999999999" customWidth="1" min="1" max="1"/>
    <col width="19.2" customWidth="1" min="2" max="2"/>
    <col width="12" customWidth="1" min="3" max="3"/>
    <col width="12.5" customWidth="1" min="4" max="4"/>
    <col width="12" customWidth="1" min="5" max="5"/>
    <col width="19.9" customWidth="1" min="6" max="6"/>
    <col width="13.2" customWidth="1" min="7" max="7"/>
  </cols>
  <sheetData>
    <row r="1">
      <c r="A1" s="4" t="inlineStr">
        <is>
          <t>제품명</t>
        </is>
      </c>
      <c r="B1" s="4" t="inlineStr">
        <is>
          <t>스위치종류</t>
        </is>
      </c>
      <c r="C1" s="4" t="inlineStr">
        <is>
          <t>가격(원)</t>
        </is>
      </c>
      <c r="D1" s="4" t="inlineStr">
        <is>
          <t>연결방식</t>
        </is>
      </c>
      <c r="E1" s="4" t="inlineStr">
        <is>
          <t>리뷰수</t>
        </is>
      </c>
      <c r="F1" s="4" t="inlineStr">
        <is>
          <t>가격대</t>
        </is>
      </c>
      <c r="G1" s="4" t="inlineStr">
        <is>
          <t>브랜드</t>
        </is>
      </c>
    </row>
    <row r="2">
      <c r="A2" s="5" t="inlineStr">
        <is>
          <t>AULA F108 PRO 유무선 기계식 치즈 화이트 한글 (저소음 바다축)</t>
        </is>
      </c>
      <c r="B2" s="18" t="inlineStr">
        <is>
          <t>저소음 바다축</t>
        </is>
      </c>
      <c r="C2" s="9" t="n">
        <v>89000</v>
      </c>
      <c r="D2" s="18" t="inlineStr">
        <is>
          <t>유선+무선</t>
        </is>
      </c>
      <c r="E2" s="9" t="n">
        <v>0</v>
      </c>
      <c r="F2" s="18" t="inlineStr">
        <is>
          <t>중급형 (5~15만원)</t>
        </is>
      </c>
      <c r="G2" s="18" t="inlineStr">
        <is>
          <t>AULA</t>
        </is>
      </c>
    </row>
    <row r="3">
      <c r="A3" s="5" t="inlineStr">
        <is>
          <t>앱코 K560 축교환 레인보우 무빙 LED 기계식 블랙 (적축)</t>
        </is>
      </c>
      <c r="B3" s="18" t="inlineStr">
        <is>
          <t>적축</t>
        </is>
      </c>
      <c r="C3" s="9" t="n">
        <v>28510</v>
      </c>
      <c r="D3" s="18" t="inlineStr">
        <is>
          <t>유선</t>
        </is>
      </c>
      <c r="E3" s="9" t="n">
        <v>126</v>
      </c>
      <c r="F3" s="18" t="inlineStr">
        <is>
          <t>보급형 (&lt;5만원)</t>
        </is>
      </c>
      <c r="G3" s="18" t="inlineStr">
        <is>
          <t>앱코</t>
        </is>
      </c>
    </row>
    <row r="4">
      <c r="A4" s="5" t="inlineStr">
        <is>
          <t>FL-ESPORTS NX87HE 민트 블랙 (저소음 스톰축)</t>
        </is>
      </c>
      <c r="B4" s="18" t="inlineStr">
        <is>
          <t>저소음 스톰축</t>
        </is>
      </c>
      <c r="C4" s="9" t="n">
        <v>98000</v>
      </c>
      <c r="D4" s="18" t="inlineStr">
        <is>
          <t>유선</t>
        </is>
      </c>
      <c r="E4" s="9" t="n">
        <v>1</v>
      </c>
      <c r="F4" s="18" t="inlineStr">
        <is>
          <t>중급형 (5~15만원)</t>
        </is>
      </c>
      <c r="G4" s="18" t="inlineStr">
        <is>
          <t>FL-ESPORTS</t>
        </is>
      </c>
    </row>
    <row r="5">
      <c r="A5" s="5" t="inlineStr">
        <is>
          <t>AULA F87 Pro 기계식 다크 올리비아 한글 (저소음 바다축)</t>
        </is>
      </c>
      <c r="B5" s="18" t="inlineStr">
        <is>
          <t>저소음 바다축</t>
        </is>
      </c>
      <c r="C5" s="9" t="n">
        <v>48000</v>
      </c>
      <c r="D5" s="18" t="inlineStr">
        <is>
          <t>유선</t>
        </is>
      </c>
      <c r="E5" s="9" t="n">
        <v>0</v>
      </c>
      <c r="F5" s="18" t="inlineStr">
        <is>
          <t>보급형 (&lt;5만원)</t>
        </is>
      </c>
      <c r="G5" s="18" t="inlineStr">
        <is>
          <t>AULA</t>
        </is>
      </c>
    </row>
    <row r="6">
      <c r="A6" s="5" t="inlineStr">
        <is>
          <t>AULA F108 기계식 라이트 그레이 (저소음 바다축)</t>
        </is>
      </c>
      <c r="B6" s="18" t="inlineStr">
        <is>
          <t>저소음 바다축</t>
        </is>
      </c>
      <c r="C6" s="9" t="n">
        <v>65000</v>
      </c>
      <c r="D6" s="18" t="inlineStr">
        <is>
          <t>유선</t>
        </is>
      </c>
      <c r="E6" s="9" t="n">
        <v>0</v>
      </c>
      <c r="F6" s="18" t="inlineStr">
        <is>
          <t>중급형 (5~15만원)</t>
        </is>
      </c>
      <c r="G6" s="18" t="inlineStr">
        <is>
          <t>AULA</t>
        </is>
      </c>
    </row>
    <row r="7">
      <c r="A7" s="5" t="inlineStr">
        <is>
          <t>로지텍 KEYS-TO-GO 2 (정품) (그라파이트)</t>
        </is>
      </c>
      <c r="B7" s="18" t="inlineStr">
        <is>
          <t>일반/미표기</t>
        </is>
      </c>
      <c r="C7" s="9" t="n">
        <v>86900</v>
      </c>
      <c r="D7" s="18" t="inlineStr">
        <is>
          <t>무선</t>
        </is>
      </c>
      <c r="E7" s="9" t="n">
        <v>91</v>
      </c>
      <c r="F7" s="18" t="inlineStr">
        <is>
          <t>중급형 (5~15만원)</t>
        </is>
      </c>
      <c r="G7" s="18" t="inlineStr">
        <is>
          <t>로지텍</t>
        </is>
      </c>
    </row>
    <row r="8">
      <c r="A8" s="5" t="inlineStr">
        <is>
          <t>AULA F87 Pro 유무선 기계식 인디고 블랙 한글 (저소음 피치축 V2)</t>
        </is>
      </c>
      <c r="B8" s="18" t="inlineStr">
        <is>
          <t>저소음 피치축 V2</t>
        </is>
      </c>
      <c r="C8" s="9" t="n">
        <v>67000</v>
      </c>
      <c r="D8" s="18" t="inlineStr">
        <is>
          <t>유선+무선</t>
        </is>
      </c>
      <c r="E8" s="9" t="n">
        <v>34</v>
      </c>
      <c r="F8" s="18" t="inlineStr">
        <is>
          <t>중급형 (5~15만원)</t>
        </is>
      </c>
      <c r="G8" s="18" t="inlineStr">
        <is>
          <t>AULA</t>
        </is>
      </c>
    </row>
    <row r="9">
      <c r="A9" s="5" t="inlineStr">
        <is>
          <t>CORSAIR 뱅가드 AIR 99 무선 (화이트)</t>
        </is>
      </c>
      <c r="B9" s="18" t="inlineStr">
        <is>
          <t>일반/미표기</t>
        </is>
      </c>
      <c r="C9" s="9" t="n">
        <v>370750</v>
      </c>
      <c r="D9" s="18" t="inlineStr">
        <is>
          <t>유선+무선</t>
        </is>
      </c>
      <c r="E9" s="9" t="n">
        <v>1</v>
      </c>
      <c r="F9" s="18" t="inlineStr">
        <is>
          <t>프리미엄 (≥15만원)</t>
        </is>
      </c>
      <c r="G9" s="18" t="inlineStr">
        <is>
          <t>커세어</t>
        </is>
      </c>
    </row>
    <row r="10">
      <c r="A10" s="5" t="inlineStr">
        <is>
          <t>CORSAIR 뱅가드 PRO 96 게이밍</t>
        </is>
      </c>
      <c r="B10" s="18" t="inlineStr">
        <is>
          <t>일반/미표기</t>
        </is>
      </c>
      <c r="C10" s="9" t="n">
        <v>198990</v>
      </c>
      <c r="D10" s="18" t="inlineStr">
        <is>
          <t>유선</t>
        </is>
      </c>
      <c r="E10" s="9" t="n">
        <v>7</v>
      </c>
      <c r="F10" s="18" t="inlineStr">
        <is>
          <t>프리미엄 (≥15만원)</t>
        </is>
      </c>
      <c r="G10" s="18" t="inlineStr">
        <is>
          <t>커세어</t>
        </is>
      </c>
    </row>
    <row r="11">
      <c r="A11" s="5" t="inlineStr">
        <is>
          <t>COX CKM40W 저소음 무선 키보드 마우스 세트 (블랙)</t>
        </is>
      </c>
      <c r="B11" s="18" t="inlineStr">
        <is>
          <t>일반/미표기</t>
        </is>
      </c>
      <c r="C11" s="9" t="n">
        <v>17900</v>
      </c>
      <c r="D11" s="18" t="inlineStr">
        <is>
          <t>무선</t>
        </is>
      </c>
      <c r="E11" s="9" t="n">
        <v>24</v>
      </c>
      <c r="F11" s="18" t="inlineStr">
        <is>
          <t>보급형 (&lt;5만원)</t>
        </is>
      </c>
      <c r="G11" s="18" t="inlineStr">
        <is>
          <t>COX</t>
        </is>
      </c>
    </row>
    <row r="12">
      <c r="A12" s="5" t="inlineStr">
        <is>
          <t>Razer Huntsman V3 HE Magnetic TKL</t>
        </is>
      </c>
      <c r="B12" s="18" t="inlineStr">
        <is>
          <t>일반/미표기</t>
        </is>
      </c>
      <c r="C12" s="9" t="n">
        <v>239000</v>
      </c>
      <c r="D12" s="18" t="inlineStr">
        <is>
          <t>유선</t>
        </is>
      </c>
      <c r="E12" s="9" t="n">
        <v>0</v>
      </c>
      <c r="F12" s="18" t="inlineStr">
        <is>
          <t>프리미엄 (≥15만원)</t>
        </is>
      </c>
      <c r="G12" s="18" t="inlineStr">
        <is>
          <t>RAZER</t>
        </is>
      </c>
    </row>
    <row r="13">
      <c r="A13" s="5" t="inlineStr">
        <is>
          <t>로지텍 MK295 SILENT (정품) (블랙)</t>
        </is>
      </c>
      <c r="B13" s="18" t="inlineStr">
        <is>
          <t>일반/미표기</t>
        </is>
      </c>
      <c r="C13" s="9" t="n">
        <v>37900</v>
      </c>
      <c r="D13" s="18" t="inlineStr">
        <is>
          <t>무선</t>
        </is>
      </c>
      <c r="E13" s="9" t="n">
        <v>326</v>
      </c>
      <c r="F13" s="18" t="inlineStr">
        <is>
          <t>보급형 (&lt;5만원)</t>
        </is>
      </c>
      <c r="G13" s="18" t="inlineStr">
        <is>
          <t>로지텍</t>
        </is>
      </c>
    </row>
    <row r="14">
      <c r="A14" s="5" t="inlineStr">
        <is>
          <t>AULA F87 Pro V2 유무선 기계식 모던 블랙 (저소음 바다축)</t>
        </is>
      </c>
      <c r="B14" s="18" t="inlineStr">
        <is>
          <t>저소음 바다축</t>
        </is>
      </c>
      <c r="C14" s="9" t="n">
        <v>85000</v>
      </c>
      <c r="D14" s="18" t="inlineStr">
        <is>
          <t>유선+무선</t>
        </is>
      </c>
      <c r="E14" s="9" t="n">
        <v>0</v>
      </c>
      <c r="F14" s="18" t="inlineStr">
        <is>
          <t>중급형 (5~15만원)</t>
        </is>
      </c>
      <c r="G14" s="18" t="inlineStr">
        <is>
          <t>AULA</t>
        </is>
      </c>
    </row>
    <row r="15">
      <c r="A15" s="5" t="inlineStr">
        <is>
          <t>AULA F108 유무선 기계식 스카이 블랙 한글 (저소음 바다축)</t>
        </is>
      </c>
      <c r="B15" s="18" t="inlineStr">
        <is>
          <t>저소음 바다축</t>
        </is>
      </c>
      <c r="C15" s="9" t="n">
        <v>82000</v>
      </c>
      <c r="D15" s="18" t="inlineStr">
        <is>
          <t>유선+무선</t>
        </is>
      </c>
      <c r="E15" s="9" t="n">
        <v>0</v>
      </c>
      <c r="F15" s="18" t="inlineStr">
        <is>
          <t>중급형 (5~15만원)</t>
        </is>
      </c>
      <c r="G15" s="18" t="inlineStr">
        <is>
          <t>AULA</t>
        </is>
      </c>
    </row>
    <row r="16">
      <c r="A16" s="5" t="inlineStr">
        <is>
          <t>로지텍 MK250 무선 키보드 마우스 세트</t>
        </is>
      </c>
      <c r="B16" s="18" t="inlineStr">
        <is>
          <t>일반/미표기</t>
        </is>
      </c>
      <c r="C16" s="9" t="n">
        <v>25900</v>
      </c>
      <c r="D16" s="18" t="inlineStr">
        <is>
          <t>무선</t>
        </is>
      </c>
      <c r="E16" s="9" t="n">
        <v>32</v>
      </c>
      <c r="F16" s="18" t="inlineStr">
        <is>
          <t>보급형 (&lt;5만원)</t>
        </is>
      </c>
      <c r="G16" s="18" t="inlineStr">
        <is>
          <t>로지텍</t>
        </is>
      </c>
    </row>
    <row r="17">
      <c r="A17" s="5" t="inlineStr">
        <is>
          <t>앱코 ACH105 오피스워커 유무선 기계식 블랙 (저소음 바다소금축)</t>
        </is>
      </c>
      <c r="B17" s="18" t="inlineStr">
        <is>
          <t>저소음 바다소금축</t>
        </is>
      </c>
      <c r="C17" s="9" t="n">
        <v>79000</v>
      </c>
      <c r="D17" s="18" t="inlineStr">
        <is>
          <t>유선+무선</t>
        </is>
      </c>
      <c r="E17" s="9" t="n">
        <v>0</v>
      </c>
      <c r="F17" s="18" t="inlineStr">
        <is>
          <t>중급형 (5~15만원)</t>
        </is>
      </c>
      <c r="G17" s="18" t="inlineStr">
        <is>
          <t>앱코</t>
        </is>
      </c>
    </row>
    <row r="18">
      <c r="A18" s="5" t="inlineStr">
        <is>
          <t>AULA S102Pro 유무선 (그레이)</t>
        </is>
      </c>
      <c r="B18" s="18" t="inlineStr">
        <is>
          <t>일반/미표기</t>
        </is>
      </c>
      <c r="C18" s="9" t="n">
        <v>29800</v>
      </c>
      <c r="D18" s="18" t="inlineStr">
        <is>
          <t>유선+무선</t>
        </is>
      </c>
      <c r="E18" s="9" t="n">
        <v>9</v>
      </c>
      <c r="F18" s="18" t="inlineStr">
        <is>
          <t>보급형 (&lt;5만원)</t>
        </is>
      </c>
      <c r="G18" s="18" t="inlineStr">
        <is>
          <t>AULA</t>
        </is>
      </c>
    </row>
    <row r="19">
      <c r="A19" s="5" t="inlineStr">
        <is>
          <t>로지텍 시그니처 MK650 (정품) (그라파이트)</t>
        </is>
      </c>
      <c r="B19" s="18" t="inlineStr">
        <is>
          <t>일반/미표기</t>
        </is>
      </c>
      <c r="C19" s="9" t="n">
        <v>79900</v>
      </c>
      <c r="D19" s="18" t="inlineStr">
        <is>
          <t>무선</t>
        </is>
      </c>
      <c r="E19" s="9" t="n">
        <v>60</v>
      </c>
      <c r="F19" s="18" t="inlineStr">
        <is>
          <t>중급형 (5~15만원)</t>
        </is>
      </c>
      <c r="G19" s="18" t="inlineStr">
        <is>
          <t>로지텍</t>
        </is>
      </c>
    </row>
    <row r="20">
      <c r="A20" s="5" t="inlineStr">
        <is>
          <t>로지텍 시그니처 슬림 MK950 키보드 마우스 세트 (정품) (그래파이트)</t>
        </is>
      </c>
      <c r="B20" s="18" t="inlineStr">
        <is>
          <t>일반/미표기</t>
        </is>
      </c>
      <c r="C20" s="9" t="n">
        <v>118990</v>
      </c>
      <c r="D20" s="18" t="inlineStr">
        <is>
          <t>무선</t>
        </is>
      </c>
      <c r="E20" s="9" t="n">
        <v>61</v>
      </c>
      <c r="F20" s="18" t="inlineStr">
        <is>
          <t>중급형 (5~15만원)</t>
        </is>
      </c>
      <c r="G20" s="18" t="inlineStr">
        <is>
          <t>로지텍</t>
        </is>
      </c>
    </row>
    <row r="21">
      <c r="A21" s="5" t="inlineStr">
        <is>
          <t>앱코 K561 교체축 유무선 블루투스 기계식 블랙 (적축)</t>
        </is>
      </c>
      <c r="B21" s="18" t="inlineStr">
        <is>
          <t>적축</t>
        </is>
      </c>
      <c r="C21" s="9" t="n">
        <v>29900</v>
      </c>
      <c r="D21" s="18" t="inlineStr">
        <is>
          <t>유선+무선</t>
        </is>
      </c>
      <c r="E21" s="9" t="n">
        <v>19</v>
      </c>
      <c r="F21" s="18" t="inlineStr">
        <is>
          <t>보급형 (&lt;5만원)</t>
        </is>
      </c>
      <c r="G21" s="18" t="inlineStr">
        <is>
          <t>앱코</t>
        </is>
      </c>
    </row>
    <row r="22">
      <c r="A22" s="5" t="inlineStr">
        <is>
          <t>프리플로우 archon M1 PRO 2 TKL (메카닉)</t>
        </is>
      </c>
      <c r="B22" s="18" t="inlineStr">
        <is>
          <t>일반/미표기</t>
        </is>
      </c>
      <c r="C22" s="9" t="n">
        <v>89000</v>
      </c>
      <c r="D22" s="18" t="inlineStr">
        <is>
          <t>유선</t>
        </is>
      </c>
      <c r="E22" s="9" t="n">
        <v>1</v>
      </c>
      <c r="F22" s="18" t="inlineStr">
        <is>
          <t>중급형 (5~15만원)</t>
        </is>
      </c>
      <c r="G22" s="18" t="inlineStr">
        <is>
          <t>프리플로우</t>
        </is>
      </c>
    </row>
    <row r="23">
      <c r="A23" s="5" t="inlineStr">
        <is>
          <t>로지텍 MX Keys S (정품) (그라파이트)</t>
        </is>
      </c>
      <c r="B23" s="18" t="inlineStr">
        <is>
          <t>일반/미표기</t>
        </is>
      </c>
      <c r="C23" s="9" t="n">
        <v>139000</v>
      </c>
      <c r="D23" s="18" t="inlineStr">
        <is>
          <t>무선</t>
        </is>
      </c>
      <c r="E23" s="9" t="n">
        <v>0</v>
      </c>
      <c r="F23" s="18" t="inlineStr">
        <is>
          <t>중급형 (5~15만원)</t>
        </is>
      </c>
      <c r="G23" s="18" t="inlineStr">
        <is>
          <t>로지텍</t>
        </is>
      </c>
    </row>
    <row r="24">
      <c r="A24" s="5" t="inlineStr">
        <is>
          <t>로지텍 MX Mechanical (정품) (갈축)</t>
        </is>
      </c>
      <c r="B24" s="18" t="inlineStr">
        <is>
          <t>갈축</t>
        </is>
      </c>
      <c r="C24" s="9" t="n">
        <v>178980</v>
      </c>
      <c r="D24" s="18" t="inlineStr">
        <is>
          <t>무선</t>
        </is>
      </c>
      <c r="E24" s="9" t="n">
        <v>48</v>
      </c>
      <c r="F24" s="18" t="inlineStr">
        <is>
          <t>프리미엄 (≥15만원)</t>
        </is>
      </c>
      <c r="G24" s="18" t="inlineStr">
        <is>
          <t>로지텍</t>
        </is>
      </c>
    </row>
    <row r="25">
      <c r="A25" s="5" t="inlineStr">
        <is>
          <t>ASUS ROG AZOTH X 유무선 기계식 (SNOW축)</t>
        </is>
      </c>
      <c r="B25" s="18" t="inlineStr">
        <is>
          <t>SNOW축</t>
        </is>
      </c>
      <c r="C25" s="9" t="n">
        <v>299000</v>
      </c>
      <c r="D25" s="18" t="inlineStr">
        <is>
          <t>유선+무선</t>
        </is>
      </c>
      <c r="E25" s="9" t="n">
        <v>2</v>
      </c>
      <c r="F25" s="18" t="inlineStr">
        <is>
          <t>프리미엄 (≥15만원)</t>
        </is>
      </c>
      <c r="G25" s="18" t="inlineStr">
        <is>
          <t>ASUS</t>
        </is>
      </c>
    </row>
    <row r="26">
      <c r="A26" s="5" t="inlineStr">
        <is>
          <t>앱코 K562 교체축 3모드 계산기 유무선 기계식</t>
        </is>
      </c>
      <c r="B26" s="18" t="inlineStr">
        <is>
          <t>일반/미표기</t>
        </is>
      </c>
      <c r="C26" s="9" t="n">
        <v>23900</v>
      </c>
      <c r="D26" s="18" t="inlineStr">
        <is>
          <t>유선+무선</t>
        </is>
      </c>
      <c r="E26" s="9" t="n">
        <v>2</v>
      </c>
      <c r="F26" s="18" t="inlineStr">
        <is>
          <t>보급형 (&lt;5만원)</t>
        </is>
      </c>
      <c r="G26" s="18" t="inlineStr">
        <is>
          <t>앱코</t>
        </is>
      </c>
    </row>
    <row r="27">
      <c r="A27" s="5" t="inlineStr">
        <is>
          <t>Nillkin Cube Pocket (그레이)</t>
        </is>
      </c>
      <c r="B27" s="18" t="inlineStr">
        <is>
          <t>일반/미표기</t>
        </is>
      </c>
      <c r="C27" s="9" t="n">
        <v>67280</v>
      </c>
      <c r="D27" s="18" t="inlineStr">
        <is>
          <t>무선</t>
        </is>
      </c>
      <c r="E27" s="9" t="n">
        <v>0</v>
      </c>
      <c r="F27" s="18" t="inlineStr">
        <is>
          <t>중급형 (5~15만원)</t>
        </is>
      </c>
      <c r="G27" s="18" t="inlineStr">
        <is>
          <t>Nillkin</t>
        </is>
      </c>
    </row>
    <row r="28">
      <c r="A28" s="5" t="inlineStr">
        <is>
          <t>로지텍 K120 New (정품)</t>
        </is>
      </c>
      <c r="B28" s="18" t="inlineStr">
        <is>
          <t>일반/미표기</t>
        </is>
      </c>
      <c r="C28" s="9" t="n">
        <v>11900</v>
      </c>
      <c r="D28" s="18" t="inlineStr">
        <is>
          <t>유선</t>
        </is>
      </c>
      <c r="E28" s="9" t="n">
        <v>1807</v>
      </c>
      <c r="F28" s="18" t="inlineStr">
        <is>
          <t>보급형 (&lt;5만원)</t>
        </is>
      </c>
      <c r="G28" s="18" t="inlineStr">
        <is>
          <t>로지텍</t>
        </is>
      </c>
    </row>
    <row r="29">
      <c r="A29" s="5" t="inlineStr">
        <is>
          <t>로지텍 MK235 (정품) (키스킨 미포함)</t>
        </is>
      </c>
      <c r="B29" s="18" t="inlineStr">
        <is>
          <t>일반/미표기</t>
        </is>
      </c>
      <c r="C29" s="9" t="n">
        <v>25550</v>
      </c>
      <c r="D29" s="18" t="inlineStr">
        <is>
          <t>무선</t>
        </is>
      </c>
      <c r="E29" s="9" t="n">
        <v>649</v>
      </c>
      <c r="F29" s="18" t="inlineStr">
        <is>
          <t>보급형 (&lt;5만원)</t>
        </is>
      </c>
      <c r="G29" s="18" t="inlineStr">
        <is>
          <t>로지텍</t>
        </is>
      </c>
    </row>
    <row r="30">
      <c r="A30" s="5" t="inlineStr">
        <is>
          <t>CORSAIR 클리퍼 PRO 미니 60 (화이트)</t>
        </is>
      </c>
      <c r="B30" s="18" t="inlineStr">
        <is>
          <t>일반/미표기</t>
        </is>
      </c>
      <c r="C30" s="9" t="n">
        <v>169000</v>
      </c>
      <c r="D30" s="18" t="inlineStr">
        <is>
          <t>유선</t>
        </is>
      </c>
      <c r="E30" s="9" t="n">
        <v>0</v>
      </c>
      <c r="F30" s="18" t="inlineStr">
        <is>
          <t>프리미엄 (≥15만원)</t>
        </is>
      </c>
      <c r="G30" s="18" t="inlineStr">
        <is>
          <t>커세어</t>
        </is>
      </c>
    </row>
    <row r="31">
      <c r="A31" s="5" t="inlineStr">
        <is>
          <t>한성컴퓨터 GK698 OfficeMaster 유무선 (RETRO POINT)</t>
        </is>
      </c>
      <c r="B31" s="18" t="inlineStr">
        <is>
          <t>일반/미표기</t>
        </is>
      </c>
      <c r="C31" s="9" t="n">
        <v>39900</v>
      </c>
      <c r="D31" s="18" t="inlineStr">
        <is>
          <t>유선+무선</t>
        </is>
      </c>
      <c r="E31" s="9" t="n">
        <v>58</v>
      </c>
      <c r="F31" s="18" t="inlineStr">
        <is>
          <t>보급형 (&lt;5만원)</t>
        </is>
      </c>
      <c r="G31" s="18" t="inlineStr">
        <is>
          <t>한성컴퓨터</t>
        </is>
      </c>
    </row>
    <row r="32">
      <c r="A32" s="5" t="inlineStr">
        <is>
          <t>한성컴퓨터 TFG Magnetox 2XF 저소음 (그레이레이니)</t>
        </is>
      </c>
      <c r="B32" s="18" t="inlineStr">
        <is>
          <t>일반/미표기</t>
        </is>
      </c>
      <c r="C32" s="9" t="n">
        <v>104000</v>
      </c>
      <c r="D32" s="18" t="inlineStr">
        <is>
          <t>유선</t>
        </is>
      </c>
      <c r="E32" s="9" t="n">
        <v>1</v>
      </c>
      <c r="F32" s="18" t="inlineStr">
        <is>
          <t>중급형 (5~15만원)</t>
        </is>
      </c>
      <c r="G32" s="18" t="inlineStr">
        <is>
          <t>한성컴퓨터</t>
        </is>
      </c>
    </row>
    <row r="33">
      <c r="A33" s="5" t="inlineStr">
        <is>
          <t>로지텍 Wave Keys + LIFT VERTICAL Combo 무선 키보드 마우스 세트 (그래파이트)</t>
        </is>
      </c>
      <c r="B33" s="18" t="inlineStr">
        <is>
          <t>일반/미표기</t>
        </is>
      </c>
      <c r="C33" s="9" t="n">
        <v>134100</v>
      </c>
      <c r="D33" s="18" t="inlineStr">
        <is>
          <t>무선</t>
        </is>
      </c>
      <c r="E33" s="9" t="n">
        <v>25</v>
      </c>
      <c r="F33" s="18" t="inlineStr">
        <is>
          <t>중급형 (5~15만원)</t>
        </is>
      </c>
      <c r="G33" s="18" t="inlineStr">
        <is>
          <t>로지텍</t>
        </is>
      </c>
    </row>
    <row r="34">
      <c r="A34" s="5" t="inlineStr">
        <is>
          <t>프리플로우 archon M1 PRO 2 MAX (메카닉)</t>
        </is>
      </c>
      <c r="B34" s="18" t="inlineStr">
        <is>
          <t>일반/미표기</t>
        </is>
      </c>
      <c r="C34" s="9" t="n">
        <v>99000</v>
      </c>
      <c r="D34" s="18" t="inlineStr">
        <is>
          <t>유선</t>
        </is>
      </c>
      <c r="E34" s="9" t="n">
        <v>1</v>
      </c>
      <c r="F34" s="18" t="inlineStr">
        <is>
          <t>중급형 (5~15만원)</t>
        </is>
      </c>
      <c r="G34" s="18" t="inlineStr">
        <is>
          <t>프리플로우</t>
        </is>
      </c>
    </row>
    <row r="35">
      <c r="A35" s="5" t="inlineStr">
        <is>
          <t>로지텍 K380S (정품) (스모키블랙)</t>
        </is>
      </c>
      <c r="B35" s="18" t="inlineStr">
        <is>
          <t>일반/미표기</t>
        </is>
      </c>
      <c r="C35" s="9" t="n">
        <v>30390</v>
      </c>
      <c r="D35" s="18" t="inlineStr">
        <is>
          <t>무선</t>
        </is>
      </c>
      <c r="E35" s="9" t="n">
        <v>166</v>
      </c>
      <c r="F35" s="18" t="inlineStr">
        <is>
          <t>보급형 (&lt;5만원)</t>
        </is>
      </c>
      <c r="G35" s="18" t="inlineStr">
        <is>
          <t>로지텍</t>
        </is>
      </c>
    </row>
    <row r="36">
      <c r="A36" s="5" t="inlineStr">
        <is>
          <t>주연테크 긱스타 GK108FE (봄 꽃비)</t>
        </is>
      </c>
      <c r="B36" s="18" t="inlineStr">
        <is>
          <t>일반/미표기</t>
        </is>
      </c>
      <c r="C36" s="9" t="n">
        <v>18800</v>
      </c>
      <c r="D36" s="18" t="inlineStr">
        <is>
          <t>유선</t>
        </is>
      </c>
      <c r="E36" s="9" t="n">
        <v>0</v>
      </c>
      <c r="F36" s="18" t="inlineStr">
        <is>
          <t>보급형 (&lt;5만원)</t>
        </is>
      </c>
      <c r="G36" s="18" t="inlineStr">
        <is>
          <t>주연테크</t>
        </is>
      </c>
    </row>
    <row r="37">
      <c r="A37" s="5" t="inlineStr">
        <is>
          <t>COX COS500 무선</t>
        </is>
      </c>
      <c r="B37" s="18" t="inlineStr">
        <is>
          <t>일반/미표기</t>
        </is>
      </c>
      <c r="C37" s="9" t="n">
        <v>28000</v>
      </c>
      <c r="D37" s="18" t="inlineStr">
        <is>
          <t>무선</t>
        </is>
      </c>
      <c r="E37" s="9" t="n">
        <v>4</v>
      </c>
      <c r="F37" s="18" t="inlineStr">
        <is>
          <t>보급형 (&lt;5만원)</t>
        </is>
      </c>
      <c r="G37" s="18" t="inlineStr">
        <is>
          <t>COX</t>
        </is>
      </c>
    </row>
    <row r="38">
      <c r="A38" s="5" t="inlineStr">
        <is>
          <t>앱코 AF108PRO ABKO x SOAI 콜라보 3모드 기계식 코랄블루 (소복눈축)</t>
        </is>
      </c>
      <c r="B38" s="18" t="inlineStr">
        <is>
          <t>소복눈축</t>
        </is>
      </c>
      <c r="C38" s="9" t="n">
        <v>79000</v>
      </c>
      <c r="D38" s="18" t="inlineStr">
        <is>
          <t>유선+무선</t>
        </is>
      </c>
      <c r="E38" s="9" t="n">
        <v>20</v>
      </c>
      <c r="F38" s="18" t="inlineStr">
        <is>
          <t>중급형 (5~15만원)</t>
        </is>
      </c>
      <c r="G38" s="18" t="inlineStr">
        <is>
          <t>앱코</t>
        </is>
      </c>
    </row>
    <row r="39">
      <c r="A39" s="5" t="inlineStr">
        <is>
          <t>AULA F108 유무선 기계식 블러쉬 핑크 한글 (저소음 바다축)</t>
        </is>
      </c>
      <c r="B39" s="18" t="inlineStr">
        <is>
          <t>저소음 바다축</t>
        </is>
      </c>
      <c r="C39" s="9" t="n">
        <v>89000</v>
      </c>
      <c r="D39" s="18" t="inlineStr">
        <is>
          <t>유선+무선</t>
        </is>
      </c>
      <c r="E39" s="9" t="n">
        <v>0</v>
      </c>
      <c r="F39" s="18" t="inlineStr">
        <is>
          <t>중급형 (5~15만원)</t>
        </is>
      </c>
      <c r="G39" s="18" t="inlineStr">
        <is>
          <t>AULA</t>
        </is>
      </c>
    </row>
    <row r="40">
      <c r="A40" s="5" t="inlineStr">
        <is>
          <t>SPM PL87W 몽돌 유무선 기계식 (블랙)</t>
        </is>
      </c>
      <c r="B40" s="18" t="inlineStr">
        <is>
          <t>일반/미표기</t>
        </is>
      </c>
      <c r="C40" s="9" t="n">
        <v>56900</v>
      </c>
      <c r="D40" s="18" t="inlineStr">
        <is>
          <t>유선+무선</t>
        </is>
      </c>
      <c r="E40" s="9" t="n">
        <v>110</v>
      </c>
      <c r="F40" s="18" t="inlineStr">
        <is>
          <t>중급형 (5~15만원)</t>
        </is>
      </c>
      <c r="G40" s="18" t="inlineStr">
        <is>
          <t>SPM</t>
        </is>
      </c>
    </row>
    <row r="41">
      <c r="A41" s="5" t="inlineStr">
        <is>
          <t>Razer Huntsman V3 Pro TKL 8K KR (정품)</t>
        </is>
      </c>
      <c r="B41" s="18" t="inlineStr">
        <is>
          <t>일반/미표기</t>
        </is>
      </c>
      <c r="C41" s="9" t="n">
        <v>329000</v>
      </c>
      <c r="D41" s="18" t="inlineStr">
        <is>
          <t>유선</t>
        </is>
      </c>
      <c r="E41" s="9" t="n">
        <v>5</v>
      </c>
      <c r="F41" s="18" t="inlineStr">
        <is>
          <t>프리미엄 (≥15만원)</t>
        </is>
      </c>
      <c r="G41" s="18" t="inlineStr">
        <is>
          <t>RAZER</t>
        </is>
      </c>
    </row>
    <row r="42">
      <c r="A42" s="5" t="inlineStr">
        <is>
          <t>CORSAIR K70 RGB PRO (갈축)</t>
        </is>
      </c>
      <c r="B42" s="18" t="inlineStr">
        <is>
          <t>갈축</t>
        </is>
      </c>
      <c r="C42" s="9" t="n">
        <v>212950</v>
      </c>
      <c r="D42" s="18" t="inlineStr">
        <is>
          <t>유선</t>
        </is>
      </c>
      <c r="E42" s="9" t="n">
        <v>119</v>
      </c>
      <c r="F42" s="18" t="inlineStr">
        <is>
          <t>프리미엄 (≥15만원)</t>
        </is>
      </c>
      <c r="G42" s="18" t="inlineStr">
        <is>
          <t>커세어</t>
        </is>
      </c>
    </row>
    <row r="43">
      <c r="A43" s="5" t="inlineStr">
        <is>
          <t>AULA F108 유무선 기계식 올리비아 화이트 한글 (저소음 솜사탕축)</t>
        </is>
      </c>
      <c r="B43" s="18" t="inlineStr">
        <is>
          <t>저소음 솜사탕축</t>
        </is>
      </c>
      <c r="C43" s="9" t="n">
        <v>82000</v>
      </c>
      <c r="D43" s="18" t="inlineStr">
        <is>
          <t>유선+무선</t>
        </is>
      </c>
      <c r="E43" s="9" t="n">
        <v>53</v>
      </c>
      <c r="F43" s="18" t="inlineStr">
        <is>
          <t>중급형 (5~15만원)</t>
        </is>
      </c>
      <c r="G43" s="18" t="inlineStr">
        <is>
          <t>AULA</t>
        </is>
      </c>
    </row>
    <row r="44">
      <c r="A44" s="5" t="inlineStr">
        <is>
          <t>AULA F87 Pro 기계식 라이트 올리비아 한글 (저소음 바다축)</t>
        </is>
      </c>
      <c r="B44" s="18" t="inlineStr">
        <is>
          <t>저소음 바다축</t>
        </is>
      </c>
      <c r="C44" s="9" t="n">
        <v>42800</v>
      </c>
      <c r="D44" s="18" t="inlineStr">
        <is>
          <t>유선</t>
        </is>
      </c>
      <c r="E44" s="9" t="n">
        <v>11</v>
      </c>
      <c r="F44" s="18" t="inlineStr">
        <is>
          <t>보급형 (&lt;5만원)</t>
        </is>
      </c>
      <c r="G44" s="18" t="inlineStr">
        <is>
          <t>AULA</t>
        </is>
      </c>
    </row>
    <row r="45">
      <c r="A45" s="5" t="inlineStr">
        <is>
          <t>AULA F87 Pro 유무선 기계식 올리비아 화이트 한글 (저소음 피치축 V2)</t>
        </is>
      </c>
      <c r="B45" s="18" t="inlineStr">
        <is>
          <t>저소음 피치축 V2</t>
        </is>
      </c>
      <c r="C45" s="9" t="n">
        <v>67000</v>
      </c>
      <c r="D45" s="18" t="inlineStr">
        <is>
          <t>유선+무선</t>
        </is>
      </c>
      <c r="E45" s="9" t="n">
        <v>35</v>
      </c>
      <c r="F45" s="18" t="inlineStr">
        <is>
          <t>중급형 (5~15만원)</t>
        </is>
      </c>
      <c r="G45" s="18" t="inlineStr">
        <is>
          <t>AULA</t>
        </is>
      </c>
    </row>
    <row r="46">
      <c r="A46" s="5" t="inlineStr">
        <is>
          <t>AULA F87 Pro V2 유무선 기계식 샌드 베이지 (저소음 바다축)</t>
        </is>
      </c>
      <c r="B46" s="18" t="inlineStr">
        <is>
          <t>저소음 바다축</t>
        </is>
      </c>
      <c r="C46" s="9" t="n">
        <v>85000</v>
      </c>
      <c r="D46" s="18" t="inlineStr">
        <is>
          <t>유선+무선</t>
        </is>
      </c>
      <c r="E46" s="9" t="n">
        <v>0</v>
      </c>
      <c r="F46" s="18" t="inlineStr">
        <is>
          <t>중급형 (5~15만원)</t>
        </is>
      </c>
      <c r="G46" s="18" t="inlineStr">
        <is>
          <t>AULA</t>
        </is>
      </c>
    </row>
    <row r="47">
      <c r="A47" s="5" t="inlineStr">
        <is>
          <t>앱코 KN30BT 블루투스 유무선 무접점</t>
        </is>
      </c>
      <c r="B47" s="18" t="inlineStr">
        <is>
          <t>일반/미표기</t>
        </is>
      </c>
      <c r="C47" s="9" t="n">
        <v>109000</v>
      </c>
      <c r="D47" s="18" t="inlineStr">
        <is>
          <t>유선+무선</t>
        </is>
      </c>
      <c r="E47" s="9" t="n">
        <v>20</v>
      </c>
      <c r="F47" s="18" t="inlineStr">
        <is>
          <t>중급형 (5~15만원)</t>
        </is>
      </c>
      <c r="G47" s="18" t="inlineStr">
        <is>
          <t>앱코</t>
        </is>
      </c>
    </row>
    <row r="48">
      <c r="A48" s="5" t="inlineStr">
        <is>
          <t>CHERRY XTRFY K37 유무선 (화이트)</t>
        </is>
      </c>
      <c r="B48" s="18" t="inlineStr">
        <is>
          <t>일반/미표기</t>
        </is>
      </c>
      <c r="C48" s="9" t="n">
        <v>58000</v>
      </c>
      <c r="D48" s="18" t="inlineStr">
        <is>
          <t>유선+무선</t>
        </is>
      </c>
      <c r="E48" s="9" t="n">
        <v>0</v>
      </c>
      <c r="F48" s="18" t="inlineStr">
        <is>
          <t>중급형 (5~15만원)</t>
        </is>
      </c>
      <c r="G48" s="18" t="inlineStr">
        <is>
          <t>CHERRY</t>
        </is>
      </c>
    </row>
    <row r="49">
      <c r="A49" s="5" t="inlineStr">
        <is>
          <t>COX CK420 교체축 레인보우 LED 게이밍 기계식 화이트 (갈축)</t>
        </is>
      </c>
      <c r="B49" s="18" t="inlineStr">
        <is>
          <t>갈축</t>
        </is>
      </c>
      <c r="C49" s="9" t="n">
        <v>29900</v>
      </c>
      <c r="D49" s="18" t="inlineStr">
        <is>
          <t>유선</t>
        </is>
      </c>
      <c r="E49" s="9" t="n">
        <v>14</v>
      </c>
      <c r="F49" s="18" t="inlineStr">
        <is>
          <t>보급형 (&lt;5만원)</t>
        </is>
      </c>
      <c r="G49" s="18" t="inlineStr">
        <is>
          <t>COX</t>
        </is>
      </c>
    </row>
    <row r="50">
      <c r="A50" s="5" t="inlineStr">
        <is>
          <t>앱코 AK998 8K OTEMU 특주축 기계식 스카이 블루 (멜론축)</t>
        </is>
      </c>
      <c r="B50" s="18" t="inlineStr">
        <is>
          <t>멜론축</t>
        </is>
      </c>
      <c r="C50" s="9" t="n">
        <v>57990</v>
      </c>
      <c r="D50" s="18" t="inlineStr">
        <is>
          <t>유선</t>
        </is>
      </c>
      <c r="E50" s="9" t="n">
        <v>3</v>
      </c>
      <c r="F50" s="18" t="inlineStr">
        <is>
          <t>중급형 (5~15만원)</t>
        </is>
      </c>
      <c r="G50" s="18" t="inlineStr">
        <is>
          <t>앱코</t>
        </is>
      </c>
    </row>
    <row r="51">
      <c r="A51" s="5" t="inlineStr">
        <is>
          <t>AULA F108 PRO 유무선 기계식 오로라 블랙 한글 (경해축)</t>
        </is>
      </c>
      <c r="B51" s="18" t="inlineStr">
        <is>
          <t>경해축</t>
        </is>
      </c>
      <c r="C51" s="9" t="n">
        <v>96000</v>
      </c>
      <c r="D51" s="18" t="inlineStr">
        <is>
          <t>유선+무선</t>
        </is>
      </c>
      <c r="E51" s="9" t="n">
        <v>43</v>
      </c>
      <c r="F51" s="18" t="inlineStr">
        <is>
          <t>중급형 (5~15만원)</t>
        </is>
      </c>
      <c r="G51" s="18" t="inlineStr">
        <is>
          <t>AULA</t>
        </is>
      </c>
    </row>
    <row r="52">
      <c r="A52" s="5" t="inlineStr">
        <is>
          <t>앱코 AK94BT 유무선 기계식 스카이블루 (저소음 피치축)</t>
        </is>
      </c>
      <c r="B52" s="18" t="inlineStr">
        <is>
          <t>저소음 피치축</t>
        </is>
      </c>
      <c r="C52" s="9" t="n">
        <v>79380</v>
      </c>
      <c r="D52" s="18" t="inlineStr">
        <is>
          <t>유선+무선</t>
        </is>
      </c>
      <c r="E52" s="9" t="n">
        <v>0</v>
      </c>
      <c r="F52" s="18" t="inlineStr">
        <is>
          <t>중급형 (5~15만원)</t>
        </is>
      </c>
      <c r="G52" s="18" t="inlineStr">
        <is>
          <t>앱코</t>
        </is>
      </c>
    </row>
    <row r="53">
      <c r="A53" s="5" t="inlineStr">
        <is>
          <t>앱코 AK87 슬림 프로 3모드 로우 프로파일 유무선 기계식 (햇살축)</t>
        </is>
      </c>
      <c r="B53" s="18" t="inlineStr">
        <is>
          <t>햇살축</t>
        </is>
      </c>
      <c r="C53" s="9" t="n">
        <v>75000</v>
      </c>
      <c r="D53" s="18" t="inlineStr">
        <is>
          <t>유선+무선</t>
        </is>
      </c>
      <c r="E53" s="9" t="n">
        <v>1</v>
      </c>
      <c r="F53" s="18" t="inlineStr">
        <is>
          <t>중급형 (5~15만원)</t>
        </is>
      </c>
      <c r="G53" s="18" t="inlineStr">
        <is>
          <t>앱코</t>
        </is>
      </c>
    </row>
    <row r="54">
      <c r="A54" s="5" t="inlineStr">
        <is>
          <t>COX COS10 유선 키보드 마우스 세트</t>
        </is>
      </c>
      <c r="B54" s="18" t="inlineStr">
        <is>
          <t>일반/미표기</t>
        </is>
      </c>
      <c r="C54" s="9" t="n">
        <v>8000</v>
      </c>
      <c r="D54" s="18" t="inlineStr">
        <is>
          <t>유선</t>
        </is>
      </c>
      <c r="E54" s="9" t="n">
        <v>4</v>
      </c>
      <c r="F54" s="18" t="inlineStr">
        <is>
          <t>보급형 (&lt;5만원)</t>
        </is>
      </c>
      <c r="G54" s="18" t="inlineStr">
        <is>
          <t>COX</t>
        </is>
      </c>
    </row>
    <row r="55">
      <c r="A55" s="5" t="inlineStr">
        <is>
          <t>CHERRY XTRFY MX 8.2 PRO TMR 8K 유무선</t>
        </is>
      </c>
      <c r="B55" s="18" t="inlineStr">
        <is>
          <t>일반/미표기</t>
        </is>
      </c>
      <c r="C55" s="9" t="n">
        <v>207200</v>
      </c>
      <c r="D55" s="18" t="inlineStr">
        <is>
          <t>유선+무선</t>
        </is>
      </c>
      <c r="E55" s="9" t="n">
        <v>1</v>
      </c>
      <c r="F55" s="18" t="inlineStr">
        <is>
          <t>프리미엄 (≥15만원)</t>
        </is>
      </c>
      <c r="G55" s="18" t="inlineStr">
        <is>
          <t>CHERRY</t>
        </is>
      </c>
    </row>
    <row r="56">
      <c r="A56" s="5" t="inlineStr">
        <is>
          <t>지클릭커 오피스프로 WK35 (그린)</t>
        </is>
      </c>
      <c r="B56" s="18" t="inlineStr">
        <is>
          <t>일반/미표기</t>
        </is>
      </c>
      <c r="C56" s="9" t="n">
        <v>29800</v>
      </c>
      <c r="D56" s="18" t="inlineStr">
        <is>
          <t>무선</t>
        </is>
      </c>
      <c r="E56" s="9" t="n">
        <v>0</v>
      </c>
      <c r="F56" s="18" t="inlineStr">
        <is>
          <t>보급형 (&lt;5만원)</t>
        </is>
      </c>
      <c r="G56" s="18" t="inlineStr">
        <is>
          <t>지클릭커</t>
        </is>
      </c>
    </row>
    <row r="57">
      <c r="A57" s="5" t="inlineStr">
        <is>
          <t>COX CKM510 게이밍 키보드 마우스 세트</t>
        </is>
      </c>
      <c r="B57" s="18" t="inlineStr">
        <is>
          <t>일반/미표기</t>
        </is>
      </c>
      <c r="C57" s="9" t="n">
        <v>18900</v>
      </c>
      <c r="D57" s="18" t="inlineStr">
        <is>
          <t>유선</t>
        </is>
      </c>
      <c r="E57" s="9" t="n">
        <v>2</v>
      </c>
      <c r="F57" s="18" t="inlineStr">
        <is>
          <t>보급형 (&lt;5만원)</t>
        </is>
      </c>
      <c r="G57" s="18" t="inlineStr">
        <is>
          <t>COX</t>
        </is>
      </c>
    </row>
    <row r="58">
      <c r="A58" s="5" t="inlineStr">
        <is>
          <t>CORSAIR K70 MAX RGB MGX 게이밍 기계식 (마그네틱축)</t>
        </is>
      </c>
      <c r="B58" s="18" t="inlineStr">
        <is>
          <t>마그네틱축</t>
        </is>
      </c>
      <c r="C58" s="9" t="n">
        <v>287000</v>
      </c>
      <c r="D58" s="18" t="inlineStr">
        <is>
          <t>유선</t>
        </is>
      </c>
      <c r="E58" s="9" t="n">
        <v>72</v>
      </c>
      <c r="F58" s="18" t="inlineStr">
        <is>
          <t>프리미엄 (≥15만원)</t>
        </is>
      </c>
      <c r="G58" s="18" t="inlineStr">
        <is>
          <t>커세어</t>
        </is>
      </c>
    </row>
    <row r="59">
      <c r="A59" s="5" t="inlineStr">
        <is>
          <t>COX CK01 TKL (적축)</t>
        </is>
      </c>
      <c r="B59" s="18" t="inlineStr">
        <is>
          <t>적축</t>
        </is>
      </c>
      <c r="C59" s="9" t="n">
        <v>31900</v>
      </c>
      <c r="D59" s="18" t="inlineStr">
        <is>
          <t>유선</t>
        </is>
      </c>
      <c r="E59" s="9" t="n">
        <v>10</v>
      </c>
      <c r="F59" s="18" t="inlineStr">
        <is>
          <t>보급형 (&lt;5만원)</t>
        </is>
      </c>
      <c r="G59" s="18" t="inlineStr">
        <is>
          <t>COX</t>
        </is>
      </c>
    </row>
    <row r="60">
      <c r="A60" s="5" t="inlineStr">
        <is>
          <t>앱코 AK998 8K OTEMU 특주축 기계식 블랙 (저소음 피치축)</t>
        </is>
      </c>
      <c r="B60" s="18" t="inlineStr">
        <is>
          <t>저소음 피치축</t>
        </is>
      </c>
      <c r="C60" s="9" t="n">
        <v>65000</v>
      </c>
      <c r="D60" s="18" t="inlineStr">
        <is>
          <t>유선</t>
        </is>
      </c>
      <c r="E60" s="9" t="n">
        <v>3</v>
      </c>
      <c r="F60" s="18" t="inlineStr">
        <is>
          <t>중급형 (5~15만원)</t>
        </is>
      </c>
      <c r="G60" s="18" t="inlineStr">
        <is>
          <t>앱코</t>
        </is>
      </c>
    </row>
    <row r="61">
      <c r="A61" s="5" t="inlineStr">
        <is>
          <t>COX CK01 PBT 이색사출 사이드 RGB 기계식 키보드 (적축)</t>
        </is>
      </c>
      <c r="B61" s="18" t="inlineStr">
        <is>
          <t>적축</t>
        </is>
      </c>
      <c r="C61" s="9" t="n">
        <v>31500</v>
      </c>
      <c r="D61" s="18" t="inlineStr">
        <is>
          <t>유선</t>
        </is>
      </c>
      <c r="E61" s="9" t="n">
        <v>5</v>
      </c>
      <c r="F61" s="18" t="inlineStr">
        <is>
          <t>보급형 (&lt;5만원)</t>
        </is>
      </c>
      <c r="G61" s="18" t="inlineStr">
        <is>
          <t>COX</t>
        </is>
      </c>
    </row>
    <row r="62">
      <c r="A62" s="5" t="inlineStr">
        <is>
          <t>COX CK87 크림블루 게이트론 LED 게이밍 기계식 (갈축)</t>
        </is>
      </c>
      <c r="B62" s="18" t="inlineStr">
        <is>
          <t>갈축</t>
        </is>
      </c>
      <c r="C62" s="9" t="n">
        <v>42000</v>
      </c>
      <c r="D62" s="18" t="inlineStr">
        <is>
          <t>유선</t>
        </is>
      </c>
      <c r="E62" s="9" t="n">
        <v>11</v>
      </c>
      <c r="F62" s="18" t="inlineStr">
        <is>
          <t>보급형 (&lt;5만원)</t>
        </is>
      </c>
      <c r="G62" s="18" t="inlineStr">
        <is>
          <t>COX</t>
        </is>
      </c>
    </row>
    <row r="63">
      <c r="A63" s="5" t="inlineStr">
        <is>
          <t>글로리어스 GMBK 75%</t>
        </is>
      </c>
      <c r="B63" s="18" t="inlineStr">
        <is>
          <t>일반/미표기</t>
        </is>
      </c>
      <c r="C63" s="9" t="n">
        <v>59000</v>
      </c>
      <c r="D63" s="18" t="inlineStr">
        <is>
          <t>유선</t>
        </is>
      </c>
      <c r="E63" s="9" t="n">
        <v>0</v>
      </c>
      <c r="F63" s="18" t="inlineStr">
        <is>
          <t>중급형 (5~15만원)</t>
        </is>
      </c>
      <c r="G63" s="18" t="inlineStr">
        <is>
          <t>글로리어스</t>
        </is>
      </c>
    </row>
    <row r="64">
      <c r="A64" s="5" t="inlineStr">
        <is>
          <t>COX CY104K V2 카일 광축 V2 게이밍 블랙 (적축)</t>
        </is>
      </c>
      <c r="B64" s="18" t="inlineStr">
        <is>
          <t>적축</t>
        </is>
      </c>
      <c r="C64" s="9" t="n">
        <v>65000</v>
      </c>
      <c r="D64" s="18" t="inlineStr">
        <is>
          <t>유선</t>
        </is>
      </c>
      <c r="E64" s="9" t="n">
        <v>1</v>
      </c>
      <c r="F64" s="18" t="inlineStr">
        <is>
          <t>중급형 (5~15만원)</t>
        </is>
      </c>
      <c r="G64" s="18" t="inlineStr">
        <is>
          <t>COX</t>
        </is>
      </c>
    </row>
    <row r="65">
      <c r="A65" s="5" t="inlineStr">
        <is>
          <t>앱코 HACKER KM700 게이밍 키보드 마우스 장패드 세트 (블랙)</t>
        </is>
      </c>
      <c r="B65" s="18" t="inlineStr">
        <is>
          <t>일반/미표기</t>
        </is>
      </c>
      <c r="C65" s="9" t="n">
        <v>28500</v>
      </c>
      <c r="D65" s="18" t="inlineStr">
        <is>
          <t>유선</t>
        </is>
      </c>
      <c r="E65" s="9" t="n">
        <v>8</v>
      </c>
      <c r="F65" s="18" t="inlineStr">
        <is>
          <t>보급형 (&lt;5만원)</t>
        </is>
      </c>
      <c r="G65" s="18" t="inlineStr">
        <is>
          <t>앱코</t>
        </is>
      </c>
    </row>
    <row r="66">
      <c r="A66" s="5" t="inlineStr">
        <is>
          <t>앱코 K561 교체축 유무선 블루투스 기계식 화이트 (적축)</t>
        </is>
      </c>
      <c r="B66" s="18" t="inlineStr">
        <is>
          <t>적축</t>
        </is>
      </c>
      <c r="C66" s="9" t="n">
        <v>29900</v>
      </c>
      <c r="D66" s="18" t="inlineStr">
        <is>
          <t>유선+무선</t>
        </is>
      </c>
      <c r="E66" s="9" t="n">
        <v>10</v>
      </c>
      <c r="F66" s="18" t="inlineStr">
        <is>
          <t>보급형 (&lt;5만원)</t>
        </is>
      </c>
      <c r="G66" s="18" t="inlineStr">
        <is>
          <t>앱코</t>
        </is>
      </c>
    </row>
    <row r="67">
      <c r="A67" s="5" t="inlineStr">
        <is>
          <t>앱코 KM580 저소음 기계식 키보드 마우스 세트 (블랙)</t>
        </is>
      </c>
      <c r="B67" s="18" t="inlineStr">
        <is>
          <t>일반/미표기</t>
        </is>
      </c>
      <c r="C67" s="9" t="n">
        <v>76990</v>
      </c>
      <c r="D67" s="18" t="inlineStr">
        <is>
          <t>유선</t>
        </is>
      </c>
      <c r="E67" s="9" t="n">
        <v>0</v>
      </c>
      <c r="F67" s="18" t="inlineStr">
        <is>
          <t>중급형 (5~15만원)</t>
        </is>
      </c>
      <c r="G67" s="18" t="inlineStr">
        <is>
          <t>앱코</t>
        </is>
      </c>
    </row>
    <row r="68">
      <c r="A68" s="5" t="inlineStr">
        <is>
          <t>STCOM 키스톰 KS-KM100W 키보드 마우스 세트</t>
        </is>
      </c>
      <c r="B68" s="18" t="inlineStr">
        <is>
          <t>일반/미표기</t>
        </is>
      </c>
      <c r="C68" s="9" t="n">
        <v>16600</v>
      </c>
      <c r="D68" s="18" t="inlineStr">
        <is>
          <t>유선</t>
        </is>
      </c>
      <c r="E68" s="9" t="n">
        <v>0</v>
      </c>
      <c r="F68" s="18" t="inlineStr">
        <is>
          <t>보급형 (&lt;5만원)</t>
        </is>
      </c>
      <c r="G68" s="18" t="inlineStr">
        <is>
          <t>STCOM</t>
        </is>
      </c>
    </row>
    <row r="69">
      <c r="A69" s="5" t="inlineStr">
        <is>
          <t>COX COS600 무선</t>
        </is>
      </c>
      <c r="B69" s="18" t="inlineStr">
        <is>
          <t>일반/미표기</t>
        </is>
      </c>
      <c r="C69" s="9" t="n">
        <v>26900</v>
      </c>
      <c r="D69" s="18" t="inlineStr">
        <is>
          <t>무선</t>
        </is>
      </c>
      <c r="E69" s="9" t="n">
        <v>1</v>
      </c>
      <c r="F69" s="18" t="inlineStr">
        <is>
          <t>보급형 (&lt;5만원)</t>
        </is>
      </c>
      <c r="G69" s="18" t="inlineStr">
        <is>
          <t>COX</t>
        </is>
      </c>
    </row>
    <row r="70">
      <c r="A70" s="5" t="inlineStr">
        <is>
          <t>FL-ESPORTS NX108 유무선 기계식 크림 핑크 (저소음 파도축)</t>
        </is>
      </c>
      <c r="B70" s="18" t="inlineStr">
        <is>
          <t>저소음 파도축</t>
        </is>
      </c>
      <c r="C70" s="9" t="n">
        <v>82000</v>
      </c>
      <c r="D70" s="18" t="inlineStr">
        <is>
          <t>유선+무선</t>
        </is>
      </c>
      <c r="E70" s="9" t="n">
        <v>7</v>
      </c>
      <c r="F70" s="18" t="inlineStr">
        <is>
          <t>중급형 (5~15만원)</t>
        </is>
      </c>
      <c r="G70" s="18" t="inlineStr">
        <is>
          <t>FL-ESPORTS</t>
        </is>
      </c>
    </row>
    <row r="71">
      <c r="A71" s="5" t="inlineStr">
        <is>
          <t>앱코 MK108 저소음 멤브레인 (블랙)</t>
        </is>
      </c>
      <c r="B71" s="18" t="inlineStr">
        <is>
          <t>일반/미표기</t>
        </is>
      </c>
      <c r="C71" s="9" t="n">
        <v>18900</v>
      </c>
      <c r="D71" s="18" t="inlineStr">
        <is>
          <t>유선</t>
        </is>
      </c>
      <c r="E71" s="9" t="n">
        <v>77</v>
      </c>
      <c r="F71" s="18" t="inlineStr">
        <is>
          <t>보급형 (&lt;5만원)</t>
        </is>
      </c>
      <c r="G71" s="18" t="inlineStr">
        <is>
          <t>앱코</t>
        </is>
      </c>
    </row>
    <row r="72">
      <c r="A72" s="5" t="inlineStr">
        <is>
          <t>앱코 MK87 저소음 텐키리스 멤브레인 (오트밀)</t>
        </is>
      </c>
      <c r="B72" s="18" t="inlineStr">
        <is>
          <t>일반/미표기</t>
        </is>
      </c>
      <c r="C72" s="9" t="n">
        <v>17900</v>
      </c>
      <c r="D72" s="18" t="inlineStr">
        <is>
          <t>유선</t>
        </is>
      </c>
      <c r="E72" s="9" t="n">
        <v>13</v>
      </c>
      <c r="F72" s="18" t="inlineStr">
        <is>
          <t>보급형 (&lt;5만원)</t>
        </is>
      </c>
      <c r="G72" s="18" t="inlineStr">
        <is>
          <t>앱코</t>
        </is>
      </c>
    </row>
    <row r="73">
      <c r="A73" s="5" t="inlineStr">
        <is>
          <t>KiiBOOM Phantom 81 V3 유무선 기계식 (핑크)</t>
        </is>
      </c>
      <c r="B73" s="18" t="inlineStr">
        <is>
          <t>일반/미표기</t>
        </is>
      </c>
      <c r="C73" s="9" t="n">
        <v>259000</v>
      </c>
      <c r="D73" s="18" t="inlineStr">
        <is>
          <t>유선+무선</t>
        </is>
      </c>
      <c r="E73" s="9" t="n">
        <v>0</v>
      </c>
      <c r="F73" s="18" t="inlineStr">
        <is>
          <t>프리미엄 (≥15만원)</t>
        </is>
      </c>
      <c r="G73" s="18" t="inlineStr">
        <is>
          <t>KiiBOOM</t>
        </is>
      </c>
    </row>
    <row r="74">
      <c r="A74" s="5" t="inlineStr">
        <is>
          <t>앱코 KN35BT DRT 8K 염료승화 블루투스 유무선 무접점 (베른)</t>
        </is>
      </c>
      <c r="B74" s="18" t="inlineStr">
        <is>
          <t>일반/미표기</t>
        </is>
      </c>
      <c r="C74" s="9" t="n">
        <v>109000</v>
      </c>
      <c r="D74" s="18" t="inlineStr">
        <is>
          <t>유선+무선</t>
        </is>
      </c>
      <c r="E74" s="9" t="n">
        <v>7</v>
      </c>
      <c r="F74" s="18" t="inlineStr">
        <is>
          <t>중급형 (5~15만원)</t>
        </is>
      </c>
      <c r="G74" s="18" t="inlineStr">
        <is>
          <t>앱코</t>
        </is>
      </c>
    </row>
    <row r="75">
      <c r="A75" s="5" t="inlineStr">
        <is>
          <t>앱코 HACKER K660 축교환 완전방수 게이밍 카일 광축 옐로우 (클릭)</t>
        </is>
      </c>
      <c r="B75" s="18" t="inlineStr">
        <is>
          <t>클릭</t>
        </is>
      </c>
      <c r="C75" s="9" t="n">
        <v>65990</v>
      </c>
      <c r="D75" s="18" t="inlineStr">
        <is>
          <t>유선</t>
        </is>
      </c>
      <c r="E75" s="9" t="n">
        <v>49</v>
      </c>
      <c r="F75" s="18" t="inlineStr">
        <is>
          <t>중급형 (5~15만원)</t>
        </is>
      </c>
      <c r="G75" s="18" t="inlineStr">
        <is>
          <t>앱코</t>
        </is>
      </c>
    </row>
    <row r="76">
      <c r="A76" s="5" t="inlineStr">
        <is>
          <t>앱코 K560 축교환 레인보우 무빙 LED 기계식 화이트 (적축)</t>
        </is>
      </c>
      <c r="B76" s="18" t="inlineStr">
        <is>
          <t>적축</t>
        </is>
      </c>
      <c r="C76" s="9" t="n">
        <v>30900</v>
      </c>
      <c r="D76" s="18" t="inlineStr">
        <is>
          <t>유선</t>
        </is>
      </c>
      <c r="E76" s="9" t="n">
        <v>34</v>
      </c>
      <c r="F76" s="18" t="inlineStr">
        <is>
          <t>보급형 (&lt;5만원)</t>
        </is>
      </c>
      <c r="G76" s="18" t="inlineStr">
        <is>
          <t>앱코</t>
        </is>
      </c>
    </row>
    <row r="77">
      <c r="A77" s="5" t="inlineStr">
        <is>
          <t>마이크로닉스 MANIC PAMPAM 팜레스트 키보드 손목받침대</t>
        </is>
      </c>
      <c r="B77" s="18" t="inlineStr">
        <is>
          <t>일반/미표기</t>
        </is>
      </c>
      <c r="C77" s="9" t="n">
        <v>8630</v>
      </c>
      <c r="D77" s="18" t="inlineStr">
        <is>
          <t>기타/미표기</t>
        </is>
      </c>
      <c r="E77" s="9" t="n">
        <v>59</v>
      </c>
      <c r="F77" s="18" t="inlineStr">
        <is>
          <t>보급형 (&lt;5만원)</t>
        </is>
      </c>
      <c r="G77" s="18" t="inlineStr">
        <is>
          <t>마이크로닉스</t>
        </is>
      </c>
    </row>
    <row r="78">
      <c r="A78" s="5" t="inlineStr">
        <is>
          <t>FL-ESPORTS NX108HE 민트 블랙 (레몬축)</t>
        </is>
      </c>
      <c r="B78" s="18" t="inlineStr">
        <is>
          <t>레몬축</t>
        </is>
      </c>
      <c r="C78" s="9" t="n">
        <v>98000</v>
      </c>
      <c r="D78" s="18" t="inlineStr">
        <is>
          <t>유선</t>
        </is>
      </c>
      <c r="E78" s="9" t="n">
        <v>0</v>
      </c>
      <c r="F78" s="18" t="inlineStr">
        <is>
          <t>중급형 (5~15만원)</t>
        </is>
      </c>
      <c r="G78" s="18" t="inlineStr">
        <is>
          <t>FL-ESPORTS</t>
        </is>
      </c>
    </row>
    <row r="79">
      <c r="A79" s="5" t="inlineStr">
        <is>
          <t>FL-ESPORTS NX108HE 네온 그레이 (레몬축)</t>
        </is>
      </c>
      <c r="B79" s="18" t="inlineStr">
        <is>
          <t>레몬축</t>
        </is>
      </c>
      <c r="C79" s="9" t="n">
        <v>98000</v>
      </c>
      <c r="D79" s="18" t="inlineStr">
        <is>
          <t>유선</t>
        </is>
      </c>
      <c r="E79" s="9" t="n">
        <v>0</v>
      </c>
      <c r="F79" s="18" t="inlineStr">
        <is>
          <t>중급형 (5~15만원)</t>
        </is>
      </c>
      <c r="G79" s="18" t="inlineStr">
        <is>
          <t>FL-ESPORTS</t>
        </is>
      </c>
    </row>
    <row r="80">
      <c r="A80" s="5" t="inlineStr">
        <is>
          <t>COX 카일 정품 광축 스위치 (5+5개, 클릭/리니어)</t>
        </is>
      </c>
      <c r="B80" s="18" t="inlineStr">
        <is>
          <t>5+5개, 클릭/리니어</t>
        </is>
      </c>
      <c r="C80" s="9" t="n">
        <v>3990</v>
      </c>
      <c r="D80" s="18" t="inlineStr">
        <is>
          <t>기타/미표기</t>
        </is>
      </c>
      <c r="E80" s="9" t="n">
        <v>18</v>
      </c>
      <c r="F80" s="18" t="inlineStr">
        <is>
          <t>보급형 (&lt;5만원)</t>
        </is>
      </c>
      <c r="G80" s="18" t="inlineStr">
        <is>
          <t>COX</t>
        </is>
      </c>
    </row>
    <row r="81">
      <c r="A81" s="5" t="inlineStr">
        <is>
          <t>로지텍 MK275 (정품)</t>
        </is>
      </c>
      <c r="B81" s="18" t="inlineStr">
        <is>
          <t>일반/미표기</t>
        </is>
      </c>
      <c r="C81" s="9" t="n">
        <v>30360</v>
      </c>
      <c r="D81" s="18" t="inlineStr">
        <is>
          <t>무선</t>
        </is>
      </c>
      <c r="E81" s="9" t="n">
        <v>291</v>
      </c>
      <c r="F81" s="18" t="inlineStr">
        <is>
          <t>보급형 (&lt;5만원)</t>
        </is>
      </c>
      <c r="G81" s="18" t="inlineStr">
        <is>
          <t>로지텍</t>
        </is>
      </c>
    </row>
    <row r="82">
      <c r="A82" s="5" t="inlineStr">
        <is>
          <t>QSENN MK210 무선 키보드 마우스 세트 (블랙, 키스킨 포함)</t>
        </is>
      </c>
      <c r="B82" s="18" t="inlineStr">
        <is>
          <t>일반/미표기</t>
        </is>
      </c>
      <c r="C82" s="9" t="n">
        <v>14780</v>
      </c>
      <c r="D82" s="18" t="inlineStr">
        <is>
          <t>무선</t>
        </is>
      </c>
      <c r="E82" s="9" t="n">
        <v>183</v>
      </c>
      <c r="F82" s="18" t="inlineStr">
        <is>
          <t>보급형 (&lt;5만원)</t>
        </is>
      </c>
      <c r="G82" s="18" t="inlineStr">
        <is>
          <t>QSENN</t>
        </is>
      </c>
    </row>
    <row r="83">
      <c r="A83" s="5" t="inlineStr">
        <is>
          <t>CORSAIR K70 RGB CORE 게이밍 기계식 (블랙)</t>
        </is>
      </c>
      <c r="B83" s="18" t="inlineStr">
        <is>
          <t>일반/미표기</t>
        </is>
      </c>
      <c r="C83" s="9" t="n">
        <v>138990</v>
      </c>
      <c r="D83" s="18" t="inlineStr">
        <is>
          <t>유선</t>
        </is>
      </c>
      <c r="E83" s="9" t="n">
        <v>23</v>
      </c>
      <c r="F83" s="18" t="inlineStr">
        <is>
          <t>중급형 (5~15만원)</t>
        </is>
      </c>
      <c r="G83" s="18" t="inlineStr">
        <is>
          <t>커세어</t>
        </is>
      </c>
    </row>
    <row r="84">
      <c r="A84" s="5" t="inlineStr">
        <is>
          <t>darkFlash CK104 무선 기계식 키보드 마우스 세트 블랙 (적축)</t>
        </is>
      </c>
      <c r="B84" s="18" t="inlineStr">
        <is>
          <t>적축</t>
        </is>
      </c>
      <c r="C84" s="9" t="n">
        <v>34490</v>
      </c>
      <c r="D84" s="18" t="inlineStr">
        <is>
          <t>무선</t>
        </is>
      </c>
      <c r="E84" s="9" t="n">
        <v>4</v>
      </c>
      <c r="F84" s="18" t="inlineStr">
        <is>
          <t>보급형 (&lt;5만원)</t>
        </is>
      </c>
      <c r="G84" s="18" t="inlineStr">
        <is>
          <t>darkFlash</t>
        </is>
      </c>
    </row>
    <row r="85">
      <c r="A85" s="5" t="inlineStr">
        <is>
          <t>프리플로우 archon AK47 유무선 기계식 (마에스트로)</t>
        </is>
      </c>
      <c r="B85" s="18" t="inlineStr">
        <is>
          <t>일반/미표기</t>
        </is>
      </c>
      <c r="C85" s="9" t="n">
        <v>57000</v>
      </c>
      <c r="D85" s="18" t="inlineStr">
        <is>
          <t>유선+무선</t>
        </is>
      </c>
      <c r="E85" s="9" t="n">
        <v>74</v>
      </c>
      <c r="F85" s="18" t="inlineStr">
        <is>
          <t>중급형 (5~15만원)</t>
        </is>
      </c>
      <c r="G85" s="18" t="inlineStr">
        <is>
          <t>프리플로우</t>
        </is>
      </c>
    </row>
    <row r="86">
      <c r="A86" s="5" t="inlineStr">
        <is>
          <t>앱코 K26 3모드 무선 QMK VIA</t>
        </is>
      </c>
      <c r="B86" s="18" t="inlineStr">
        <is>
          <t>일반/미표기</t>
        </is>
      </c>
      <c r="C86" s="9" t="n">
        <v>43900</v>
      </c>
      <c r="D86" s="18" t="inlineStr">
        <is>
          <t>유선+무선</t>
        </is>
      </c>
      <c r="E86" s="9" t="n">
        <v>4</v>
      </c>
      <c r="F86" s="18" t="inlineStr">
        <is>
          <t>보급형 (&lt;5만원)</t>
        </is>
      </c>
      <c r="G86" s="18" t="inlineStr">
        <is>
          <t>앱코</t>
        </is>
      </c>
    </row>
    <row r="87">
      <c r="A87" s="5" t="inlineStr">
        <is>
          <t>QSENN MK128 사일런트 무선 키보드 마우스 세트 (화이트, 키스킨 포함)</t>
        </is>
      </c>
      <c r="B87" s="18" t="inlineStr">
        <is>
          <t>일반/미표기</t>
        </is>
      </c>
      <c r="C87" s="9" t="n">
        <v>17400</v>
      </c>
      <c r="D87" s="18" t="inlineStr">
        <is>
          <t>무선</t>
        </is>
      </c>
      <c r="E87" s="9" t="n">
        <v>0</v>
      </c>
      <c r="F87" s="18" t="inlineStr">
        <is>
          <t>보급형 (&lt;5만원)</t>
        </is>
      </c>
      <c r="G87" s="18" t="inlineStr">
        <is>
          <t>QSENN</t>
        </is>
      </c>
    </row>
    <row r="88">
      <c r="A88" s="5" t="inlineStr">
        <is>
          <t>로지텍 ERGO K860 (정품)</t>
        </is>
      </c>
      <c r="B88" s="18" t="inlineStr">
        <is>
          <t>일반/미표기</t>
        </is>
      </c>
      <c r="C88" s="9" t="n">
        <v>186750</v>
      </c>
      <c r="D88" s="18" t="inlineStr">
        <is>
          <t>무선</t>
        </is>
      </c>
      <c r="E88" s="9" t="n">
        <v>270</v>
      </c>
      <c r="F88" s="18" t="inlineStr">
        <is>
          <t>프리미엄 (≥15만원)</t>
        </is>
      </c>
      <c r="G88" s="18" t="inlineStr">
        <is>
          <t>로지텍</t>
        </is>
      </c>
    </row>
    <row r="89">
      <c r="A89" s="5" t="inlineStr">
        <is>
          <t>darkFlash DKM100 키보드 마우스 세트 (흑설탕)</t>
        </is>
      </c>
      <c r="B89" s="18" t="inlineStr">
        <is>
          <t>일반/미표기</t>
        </is>
      </c>
      <c r="C89" s="9" t="n">
        <v>27170</v>
      </c>
      <c r="D89" s="18" t="inlineStr">
        <is>
          <t>유선</t>
        </is>
      </c>
      <c r="E89" s="9" t="n">
        <v>4</v>
      </c>
      <c r="F89" s="18" t="inlineStr">
        <is>
          <t>보급형 (&lt;5만원)</t>
        </is>
      </c>
      <c r="G89" s="18" t="inlineStr">
        <is>
          <t>darkFlash</t>
        </is>
      </c>
    </row>
    <row r="90">
      <c r="A90" s="5" t="inlineStr">
        <is>
          <t>지클릭커 OFFICEPRO WK20 인체공학 펜타 무선</t>
        </is>
      </c>
      <c r="B90" s="18" t="inlineStr">
        <is>
          <t>일반/미표기</t>
        </is>
      </c>
      <c r="C90" s="9" t="n">
        <v>25900</v>
      </c>
      <c r="D90" s="18" t="inlineStr">
        <is>
          <t>무선</t>
        </is>
      </c>
      <c r="E90" s="9" t="n">
        <v>0</v>
      </c>
      <c r="F90" s="18" t="inlineStr">
        <is>
          <t>보급형 (&lt;5만원)</t>
        </is>
      </c>
      <c r="G90" s="18" t="inlineStr">
        <is>
          <t>지클릭커</t>
        </is>
      </c>
    </row>
    <row r="91">
      <c r="A91" s="5" t="inlineStr">
        <is>
          <t>로지텍 K120 New + M90 (정품)</t>
        </is>
      </c>
      <c r="B91" s="18" t="inlineStr">
        <is>
          <t>일반/미표기</t>
        </is>
      </c>
      <c r="C91" s="9" t="n">
        <v>18330</v>
      </c>
      <c r="D91" s="18" t="inlineStr">
        <is>
          <t>유선</t>
        </is>
      </c>
      <c r="E91" s="9" t="n">
        <v>109</v>
      </c>
      <c r="F91" s="18" t="inlineStr">
        <is>
          <t>보급형 (&lt;5만원)</t>
        </is>
      </c>
      <c r="G91" s="18" t="inlineStr">
        <is>
          <t>로지텍</t>
        </is>
      </c>
    </row>
    <row r="92">
      <c r="A92" s="5" t="inlineStr">
        <is>
          <t>로지텍 K400 PLUS (정품)</t>
        </is>
      </c>
      <c r="B92" s="18" t="inlineStr">
        <is>
          <t>일반/미표기</t>
        </is>
      </c>
      <c r="C92" s="9" t="n">
        <v>50670</v>
      </c>
      <c r="D92" s="18" t="inlineStr">
        <is>
          <t>무선</t>
        </is>
      </c>
      <c r="E92" s="9" t="n">
        <v>16</v>
      </c>
      <c r="F92" s="18" t="inlineStr">
        <is>
          <t>중급형 (5~15만원)</t>
        </is>
      </c>
      <c r="G92" s="18" t="inlineStr">
        <is>
          <t>로지텍</t>
        </is>
      </c>
    </row>
    <row r="93">
      <c r="A93" s="5" t="inlineStr">
        <is>
          <t>QSENN MK350 무선 키보드 마우스 세트 (화이트)</t>
        </is>
      </c>
      <c r="B93" s="18" t="inlineStr">
        <is>
          <t>일반/미표기</t>
        </is>
      </c>
      <c r="C93" s="9" t="n">
        <v>20400</v>
      </c>
      <c r="D93" s="18" t="inlineStr">
        <is>
          <t>무선</t>
        </is>
      </c>
      <c r="E93" s="9" t="n">
        <v>16</v>
      </c>
      <c r="F93" s="18" t="inlineStr">
        <is>
          <t>보급형 (&lt;5만원)</t>
        </is>
      </c>
      <c r="G93" s="18" t="inlineStr">
        <is>
          <t>QSENN</t>
        </is>
      </c>
    </row>
    <row r="94">
      <c r="A94" s="5" t="inlineStr">
        <is>
          <t>로지텍 시그니처 슬림 솔라+ K980 무선</t>
        </is>
      </c>
      <c r="B94" s="18" t="inlineStr">
        <is>
          <t>일반/미표기</t>
        </is>
      </c>
      <c r="C94" s="9" t="n">
        <v>110670</v>
      </c>
      <c r="D94" s="18" t="inlineStr">
        <is>
          <t>무선</t>
        </is>
      </c>
      <c r="E94" s="9" t="n">
        <v>6</v>
      </c>
      <c r="F94" s="18" t="inlineStr">
        <is>
          <t>중급형 (5~15만원)</t>
        </is>
      </c>
      <c r="G94" s="18" t="inlineStr">
        <is>
          <t>로지텍</t>
        </is>
      </c>
    </row>
    <row r="95">
      <c r="A95" s="5" t="inlineStr">
        <is>
          <t>로지텍 MK200 NEW (정품)</t>
        </is>
      </c>
      <c r="B95" s="18" t="inlineStr">
        <is>
          <t>일반/미표기</t>
        </is>
      </c>
      <c r="C95" s="9" t="n">
        <v>22530</v>
      </c>
      <c r="D95" s="18" t="inlineStr">
        <is>
          <t>유선</t>
        </is>
      </c>
      <c r="E95" s="9" t="n">
        <v>94</v>
      </c>
      <c r="F95" s="18" t="inlineStr">
        <is>
          <t>보급형 (&lt;5만원)</t>
        </is>
      </c>
      <c r="G95" s="18" t="inlineStr">
        <is>
          <t>로지텍</t>
        </is>
      </c>
    </row>
    <row r="96">
      <c r="A96" s="5" t="inlineStr">
        <is>
          <t>로지텍 MX Master 3S + MX Keys S COMBO (정품)</t>
        </is>
      </c>
      <c r="B96" s="18" t="inlineStr">
        <is>
          <t>일반/미표기</t>
        </is>
      </c>
      <c r="C96" s="9" t="n">
        <v>269000</v>
      </c>
      <c r="D96" s="18" t="inlineStr">
        <is>
          <t>무선</t>
        </is>
      </c>
      <c r="E96" s="9" t="n">
        <v>20</v>
      </c>
      <c r="F96" s="18" t="inlineStr">
        <is>
          <t>프리미엄 (≥15만원)</t>
        </is>
      </c>
      <c r="G96" s="18" t="inlineStr">
        <is>
          <t>로지텍</t>
        </is>
      </c>
    </row>
    <row r="97">
      <c r="A97" s="5" t="inlineStr">
        <is>
          <t>프리플로우 archon AK47 PRO 유무선 기계식 마시멜로우 (세이야축)</t>
        </is>
      </c>
      <c r="B97" s="18" t="inlineStr">
        <is>
          <t>세이야축</t>
        </is>
      </c>
      <c r="C97" s="9" t="n">
        <v>79900</v>
      </c>
      <c r="D97" s="18" t="inlineStr">
        <is>
          <t>유선+무선</t>
        </is>
      </c>
      <c r="E97" s="9" t="n">
        <v>0</v>
      </c>
      <c r="F97" s="18" t="inlineStr">
        <is>
          <t>중급형 (5~15만원)</t>
        </is>
      </c>
      <c r="G97" s="18" t="inlineStr">
        <is>
          <t>프리플로우</t>
        </is>
      </c>
    </row>
    <row r="98">
      <c r="A98" s="5" t="inlineStr">
        <is>
          <t>한성컴퓨터 HKM1000K PLUS 키보드 마우스 세트</t>
        </is>
      </c>
      <c r="B98" s="18" t="inlineStr">
        <is>
          <t>일반/미표기</t>
        </is>
      </c>
      <c r="C98" s="9" t="n">
        <v>21900</v>
      </c>
      <c r="D98" s="18" t="inlineStr">
        <is>
          <t>유선</t>
        </is>
      </c>
      <c r="E98" s="9" t="n">
        <v>4</v>
      </c>
      <c r="F98" s="18" t="inlineStr">
        <is>
          <t>보급형 (&lt;5만원)</t>
        </is>
      </c>
      <c r="G98" s="18" t="inlineStr">
        <is>
          <t>한성컴퓨터</t>
        </is>
      </c>
    </row>
    <row r="99">
      <c r="A99" s="5" t="inlineStr">
        <is>
          <t>COX CNK84L 유무선 무접점</t>
        </is>
      </c>
      <c r="B99" s="18" t="inlineStr">
        <is>
          <t>일반/미표기</t>
        </is>
      </c>
      <c r="C99" s="9" t="n">
        <v>59000</v>
      </c>
      <c r="D99" s="18" t="inlineStr">
        <is>
          <t>유선+무선</t>
        </is>
      </c>
      <c r="E99" s="9" t="n">
        <v>3</v>
      </c>
      <c r="F99" s="18" t="inlineStr">
        <is>
          <t>중급형 (5~15만원)</t>
        </is>
      </c>
      <c r="G99" s="18" t="inlineStr">
        <is>
          <t>COX</t>
        </is>
      </c>
    </row>
    <row r="100">
      <c r="A100" s="5" t="inlineStr">
        <is>
          <t>삼성전자 SKG-3000UB (키스킨 포함)</t>
        </is>
      </c>
      <c r="B100" s="18" t="inlineStr">
        <is>
          <t>일반/미표기</t>
        </is>
      </c>
      <c r="C100" s="9" t="n">
        <v>21500</v>
      </c>
      <c r="D100" s="18" t="inlineStr">
        <is>
          <t>유선</t>
        </is>
      </c>
      <c r="E100" s="9" t="n">
        <v>1343</v>
      </c>
      <c r="F100" s="18" t="inlineStr">
        <is>
          <t>보급형 (&lt;5만원)</t>
        </is>
      </c>
      <c r="G100" s="18" t="inlineStr">
        <is>
          <t>삼성전자</t>
        </is>
      </c>
    </row>
    <row r="101">
      <c r="A101" s="5" t="inlineStr">
        <is>
          <t>로지텍 G515 LIGHTSPEED TKL (정품) (화이트)</t>
        </is>
      </c>
      <c r="B101" s="18" t="inlineStr">
        <is>
          <t>일반/미표기</t>
        </is>
      </c>
      <c r="C101" s="9" t="n">
        <v>129000</v>
      </c>
      <c r="D101" s="18" t="inlineStr">
        <is>
          <t>유선+무선</t>
        </is>
      </c>
      <c r="E101" s="9" t="n">
        <v>43</v>
      </c>
      <c r="F101" s="18" t="inlineStr">
        <is>
          <t>중급형 (5~15만원)</t>
        </is>
      </c>
      <c r="G101" s="18" t="inlineStr">
        <is>
          <t>로지텍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2026-08-26T22:29:23Z</dcterms:created>
  <dcterms:modified xmlns:dcterms="http://purl.org/dc/terms/" xmlns:xsi="http://www.w3.org/2001/XMLSchema-instance" xsi:type="dcterms:W3CDTF">2026-08-26T22:29:23Z</dcterms:modified>
</cp:coreProperties>
</file>